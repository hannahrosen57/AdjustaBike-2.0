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yfiles\hrh33\dos\FYP Adjustabike\clutter\"/>
    </mc:Choice>
  </mc:AlternateContent>
  <xr:revisionPtr revIDLastSave="0" documentId="13_ncr:1_{BE40F25E-2170-46A7-8ACB-3C5C3ECF7218}" xr6:coauthVersionLast="44" xr6:coauthVersionMax="44" xr10:uidLastSave="{00000000-0000-0000-0000-000000000000}"/>
  <bookViews>
    <workbookView xWindow="-120" yWindow="-120" windowWidth="29040" windowHeight="15840" xr2:uid="{0B1A8BE2-F423-4BD1-B9C4-448950125A23}"/>
  </bookViews>
  <sheets>
    <sheet name="bike" sheetId="1" r:id="rId1"/>
    <sheet name="kit" sheetId="2" r:id="rId2"/>
    <sheet name="q data" sheetId="3" r:id="rId3"/>
  </sheets>
  <definedNames>
    <definedName name="_xlnm._FilterDatabase" localSheetId="0" hidden="1">bike!$A$2:$E$47</definedName>
    <definedName name="_xlnm._FilterDatabase" localSheetId="1" hidden="1">kit!$A$2:$E$28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" i="3" l="1"/>
  <c r="J5" i="3"/>
  <c r="I6" i="3"/>
  <c r="I5" i="3"/>
  <c r="I61" i="3"/>
  <c r="E52" i="3"/>
  <c r="E53" i="3"/>
  <c r="E51" i="3"/>
  <c r="E47" i="3"/>
  <c r="E46" i="3"/>
  <c r="E45" i="3"/>
  <c r="E44" i="3"/>
  <c r="E43" i="3"/>
  <c r="E38" i="3"/>
  <c r="E37" i="3"/>
  <c r="E36" i="3"/>
  <c r="E35" i="3"/>
  <c r="E34" i="3"/>
  <c r="E26" i="3"/>
  <c r="E27" i="3"/>
  <c r="E28" i="3"/>
  <c r="E29" i="3"/>
  <c r="E25" i="3"/>
  <c r="E16" i="3"/>
  <c r="E17" i="3"/>
  <c r="E18" i="3"/>
  <c r="E19" i="3"/>
  <c r="E20" i="3"/>
  <c r="E15" i="3"/>
  <c r="G6" i="3"/>
  <c r="G7" i="3"/>
  <c r="G8" i="3"/>
  <c r="G9" i="3"/>
  <c r="G10" i="3"/>
  <c r="G5" i="3"/>
</calcChain>
</file>

<file path=xl/sharedStrings.xml><?xml version="1.0" encoding="utf-8"?>
<sst xmlns="http://schemas.openxmlformats.org/spreadsheetml/2006/main" count="475" uniqueCount="204">
  <si>
    <t>D/W</t>
  </si>
  <si>
    <t>weight</t>
  </si>
  <si>
    <t>category</t>
  </si>
  <si>
    <t>requirement</t>
  </si>
  <si>
    <t>Two wheels</t>
  </si>
  <si>
    <t>Diameter between * and *</t>
  </si>
  <si>
    <t>No wobble</t>
  </si>
  <si>
    <t>Low friction at axle</t>
  </si>
  <si>
    <t>Low maintainance (ie lubrication, cleaning)</t>
  </si>
  <si>
    <t>Securely attached</t>
  </si>
  <si>
    <t>wheels</t>
  </si>
  <si>
    <t>function</t>
  </si>
  <si>
    <t>seat</t>
  </si>
  <si>
    <t>Seat</t>
  </si>
  <si>
    <t>pedals</t>
  </si>
  <si>
    <t>Pedals</t>
  </si>
  <si>
    <t>Crank length between * and *</t>
  </si>
  <si>
    <t>steering</t>
  </si>
  <si>
    <t>Steering - handlebars</t>
  </si>
  <si>
    <t>Smooth running fit</t>
  </si>
  <si>
    <t>Minimum range of motion of *</t>
  </si>
  <si>
    <t>Handlebar width between * and *</t>
  </si>
  <si>
    <t>Drive between pedals and wheel(s)</t>
  </si>
  <si>
    <t>drive</t>
  </si>
  <si>
    <t>Minimum efficiency of *</t>
  </si>
  <si>
    <t>Adjustable tension and alignment</t>
  </si>
  <si>
    <t>Braking</t>
  </si>
  <si>
    <t>braking</t>
  </si>
  <si>
    <t>Two independent brakes</t>
  </si>
  <si>
    <t>safety</t>
  </si>
  <si>
    <t>All materials weather resistant</t>
  </si>
  <si>
    <t>SPECIFICATION for DIY Bicycle</t>
  </si>
  <si>
    <t>Bike must support a load of * with a safety factor of *</t>
  </si>
  <si>
    <t>All fastenings must resist load and vibration</t>
  </si>
  <si>
    <t>Fatigue strength after 10,000 cycles is still safe</t>
  </si>
  <si>
    <t>Follow road regulations (ie two independent brakes)</t>
  </si>
  <si>
    <t>assembly</t>
  </si>
  <si>
    <t>Maximum assembly time: *</t>
  </si>
  <si>
    <t>No tooling required</t>
  </si>
  <si>
    <t>W</t>
  </si>
  <si>
    <t>Only simple tooling required</t>
  </si>
  <si>
    <t>D</t>
  </si>
  <si>
    <t>Can assemble with one person without a jig</t>
  </si>
  <si>
    <t>Can assemble with two people without a jig</t>
  </si>
  <si>
    <t xml:space="preserve">Non-destructive assembly </t>
  </si>
  <si>
    <t>Adjustable horizontal position of +/- *</t>
  </si>
  <si>
    <t>Stopping distance of * or less at * m/s</t>
  </si>
  <si>
    <t>No sharp protruding edges</t>
  </si>
  <si>
    <t>-</t>
  </si>
  <si>
    <t>Adjustable height of at least +/- *</t>
  </si>
  <si>
    <t>links</t>
  </si>
  <si>
    <t>joints</t>
  </si>
  <si>
    <t>manufacture</t>
  </si>
  <si>
    <t>Max weight/metre of *</t>
  </si>
  <si>
    <t>The following lengths should be possible: * * *</t>
  </si>
  <si>
    <t>Maximum cost of *</t>
  </si>
  <si>
    <t>Minimise cost</t>
  </si>
  <si>
    <t>The following angles should be possible: * * *</t>
  </si>
  <si>
    <t xml:space="preserve">Assemble securely </t>
  </si>
  <si>
    <t>Possible to manufacture safely with only the tools available to a layman</t>
  </si>
  <si>
    <t>Possible to manufacture with one person (can use vices to secure work)</t>
  </si>
  <si>
    <t>Maximum manufacture time for basic kit: *</t>
  </si>
  <si>
    <t>All components commercially available to a layman</t>
  </si>
  <si>
    <t>Consistent/repeatable from documentation</t>
  </si>
  <si>
    <t>other systems</t>
  </si>
  <si>
    <t>Components for other systems (ie wheels, brakes, pedals, drive, steering, seat) selected to satisfy bike requirements</t>
  </si>
  <si>
    <t>Attachment for other systems (ie wheels, brakes, pedals, drive, steering, seat) designed to satisfy bike requirements</t>
  </si>
  <si>
    <t>All parts compatible</t>
  </si>
  <si>
    <t>Minimum load of * in tension/compression and * bending</t>
  </si>
  <si>
    <t>Minimum 'gripping' force of * and resistance to torque of *</t>
  </si>
  <si>
    <t>Possibility of a different length without cutting link</t>
  </si>
  <si>
    <t>Possibility of a different angle without using a different joint</t>
  </si>
  <si>
    <t>"Standard" bike geometry and at least one other geometry possible</t>
  </si>
  <si>
    <t>#</t>
  </si>
  <si>
    <t>Max. weight of 30kg</t>
  </si>
  <si>
    <t>Max weight of 15kg</t>
  </si>
  <si>
    <t>Align feet and knees laterally (side to side) for easy pedaling</t>
  </si>
  <si>
    <t>Max. knee clearance of 250mm</t>
  </si>
  <si>
    <t>size</t>
  </si>
  <si>
    <t>rider height</t>
  </si>
  <si>
    <t>stack</t>
  </si>
  <si>
    <t>reach</t>
  </si>
  <si>
    <t>min</t>
  </si>
  <si>
    <t>max</t>
  </si>
  <si>
    <t>M sm</t>
  </si>
  <si>
    <t>M md</t>
  </si>
  <si>
    <t>M lg</t>
  </si>
  <si>
    <t>W sm</t>
  </si>
  <si>
    <t>W md</t>
  </si>
  <si>
    <t>W lg</t>
  </si>
  <si>
    <t>from hybrid bike boardman mtx 8.8 (cm)</t>
  </si>
  <si>
    <t>from hybrid bike cannondale adventure 2</t>
  </si>
  <si>
    <t>M xl</t>
  </si>
  <si>
    <t>W tl</t>
  </si>
  <si>
    <t>from hybrid bike canondale quick cx 4</t>
  </si>
  <si>
    <t>sm</t>
  </si>
  <si>
    <t>md</t>
  </si>
  <si>
    <t>lg</t>
  </si>
  <si>
    <t>xlg</t>
  </si>
  <si>
    <t>2xl</t>
  </si>
  <si>
    <t>from hybrid bike canondale quick 4</t>
  </si>
  <si>
    <t>SM</t>
  </si>
  <si>
    <t>MD</t>
  </si>
  <si>
    <t>LG</t>
  </si>
  <si>
    <t>XL</t>
  </si>
  <si>
    <t>2XL</t>
  </si>
  <si>
    <r>
      <t>A </t>
    </r>
    <r>
      <rPr>
        <sz val="11"/>
        <color rgb="FF222222"/>
        <rFont val="Arial"/>
        <family val="2"/>
      </rPr>
      <t>Seat Tube Length</t>
    </r>
  </si>
  <si>
    <t>40cm</t>
  </si>
  <si>
    <t>45cm</t>
  </si>
  <si>
    <t>50cm</t>
  </si>
  <si>
    <t>55cm</t>
  </si>
  <si>
    <t>60cm</t>
  </si>
  <si>
    <r>
      <t>B </t>
    </r>
    <r>
      <rPr>
        <sz val="11"/>
        <color rgb="FF222222"/>
        <rFont val="Arial"/>
        <family val="2"/>
      </rPr>
      <t>Top Tube Length</t>
    </r>
  </si>
  <si>
    <t>55.7cm</t>
  </si>
  <si>
    <t>57.3cm</t>
  </si>
  <si>
    <t>58.8cm</t>
  </si>
  <si>
    <t>60.3cm</t>
  </si>
  <si>
    <t>61.9cm</t>
  </si>
  <si>
    <r>
      <t>D </t>
    </r>
    <r>
      <rPr>
        <sz val="11"/>
        <color rgb="FF222222"/>
        <rFont val="Arial"/>
        <family val="2"/>
      </rPr>
      <t>Head Tube Angle</t>
    </r>
  </si>
  <si>
    <t>70.0°</t>
  </si>
  <si>
    <r>
      <t>E</t>
    </r>
    <r>
      <rPr>
        <sz val="7"/>
        <color rgb="FF222222"/>
        <rFont val="Courier New"/>
        <family val="3"/>
      </rPr>
      <t>1</t>
    </r>
    <r>
      <rPr>
        <sz val="11"/>
        <color rgb="FF222222"/>
        <rFont val="Courier New"/>
        <family val="3"/>
      </rPr>
      <t> </t>
    </r>
    <r>
      <rPr>
        <sz val="11"/>
        <color rgb="FF222222"/>
        <rFont val="Arial"/>
        <family val="2"/>
      </rPr>
      <t>Seat Tube Angle Effective</t>
    </r>
  </si>
  <si>
    <t>73.0°</t>
  </si>
  <si>
    <r>
      <t>F </t>
    </r>
    <r>
      <rPr>
        <sz val="11"/>
        <color rgb="FF222222"/>
        <rFont val="Arial"/>
        <family val="2"/>
      </rPr>
      <t>Standover</t>
    </r>
  </si>
  <si>
    <t>69cm</t>
  </si>
  <si>
    <t>73.1cm</t>
  </si>
  <si>
    <t>77.2cm</t>
  </si>
  <si>
    <t>81.2cm</t>
  </si>
  <si>
    <t>85.2cm</t>
  </si>
  <si>
    <r>
      <t>G </t>
    </r>
    <r>
      <rPr>
        <sz val="11"/>
        <color rgb="FF222222"/>
        <rFont val="Arial"/>
        <family val="2"/>
      </rPr>
      <t>Head Tube Length</t>
    </r>
  </si>
  <si>
    <t>13.4cm</t>
  </si>
  <si>
    <t>16cm</t>
  </si>
  <si>
    <t>18.5cm</t>
  </si>
  <si>
    <t>21.1cm</t>
  </si>
  <si>
    <t>23.6cm</t>
  </si>
  <si>
    <r>
      <t>H </t>
    </r>
    <r>
      <rPr>
        <sz val="11"/>
        <color rgb="FF222222"/>
        <rFont val="Arial"/>
        <family val="2"/>
      </rPr>
      <t>Wheelbase</t>
    </r>
  </si>
  <si>
    <t>105.3cm</t>
  </si>
  <si>
    <t>107cm</t>
  </si>
  <si>
    <t>108.6cm</t>
  </si>
  <si>
    <t>110.3cm</t>
  </si>
  <si>
    <t>112cm</t>
  </si>
  <si>
    <r>
      <t>I </t>
    </r>
    <r>
      <rPr>
        <sz val="11"/>
        <color rgb="FF222222"/>
        <rFont val="Arial"/>
        <family val="2"/>
      </rPr>
      <t>Front Center</t>
    </r>
  </si>
  <si>
    <t>62.7cm</t>
  </si>
  <si>
    <t>64.4cm</t>
  </si>
  <si>
    <t>66cm</t>
  </si>
  <si>
    <t>67.7cm</t>
  </si>
  <si>
    <t>69.4cm</t>
  </si>
  <si>
    <r>
      <t>J </t>
    </r>
    <r>
      <rPr>
        <sz val="11"/>
        <color rgb="FF222222"/>
        <rFont val="Arial"/>
        <family val="2"/>
      </rPr>
      <t>Chain Stay Length</t>
    </r>
  </si>
  <si>
    <t>43.5cm</t>
  </si>
  <si>
    <r>
      <t>K </t>
    </r>
    <r>
      <rPr>
        <sz val="11"/>
        <color rgb="FF222222"/>
        <rFont val="Arial"/>
        <family val="2"/>
      </rPr>
      <t>Bottom Bracket Drop</t>
    </r>
  </si>
  <si>
    <t>6.8cm</t>
  </si>
  <si>
    <r>
      <t>L </t>
    </r>
    <r>
      <rPr>
        <sz val="11"/>
        <color rgb="FF222222"/>
        <rFont val="Arial"/>
        <family val="2"/>
      </rPr>
      <t>Estimated BB Height</t>
    </r>
  </si>
  <si>
    <t>27.7cm</t>
  </si>
  <si>
    <r>
      <t>M </t>
    </r>
    <r>
      <rPr>
        <sz val="11"/>
        <color rgb="FF222222"/>
        <rFont val="Arial"/>
        <family val="2"/>
      </rPr>
      <t>Fork Rake</t>
    </r>
  </si>
  <si>
    <t>5.5cm</t>
  </si>
  <si>
    <r>
      <t>N </t>
    </r>
    <r>
      <rPr>
        <sz val="11"/>
        <color rgb="FF222222"/>
        <rFont val="Arial"/>
        <family val="2"/>
      </rPr>
      <t>Trail</t>
    </r>
  </si>
  <si>
    <t>6.7cm</t>
  </si>
  <si>
    <r>
      <t>O </t>
    </r>
    <r>
      <rPr>
        <sz val="11"/>
        <color rgb="FF222222"/>
        <rFont val="Arial"/>
        <family val="2"/>
      </rPr>
      <t>Stack</t>
    </r>
  </si>
  <si>
    <t>55.4cm</t>
  </si>
  <si>
    <t>57.8cm</t>
  </si>
  <si>
    <t>60.2cm</t>
  </si>
  <si>
    <t>62.6cm</t>
  </si>
  <si>
    <t>65cm</t>
  </si>
  <si>
    <r>
      <t>P </t>
    </r>
    <r>
      <rPr>
        <sz val="11"/>
        <color rgb="FF222222"/>
        <rFont val="Arial"/>
        <family val="2"/>
      </rPr>
      <t>Reach</t>
    </r>
  </si>
  <si>
    <t>38.8cm</t>
  </si>
  <si>
    <t>39.6cm</t>
  </si>
  <si>
    <t>40.4cm</t>
  </si>
  <si>
    <t>41.2cm</t>
  </si>
  <si>
    <t>42cm</t>
  </si>
  <si>
    <t>from giant escape 3</t>
  </si>
  <si>
    <t>xsm</t>
  </si>
  <si>
    <t>hyp</t>
  </si>
  <si>
    <t>from cannondale quick women's 8</t>
  </si>
  <si>
    <t>tl</t>
  </si>
  <si>
    <t>XS</t>
  </si>
  <si>
    <t>S</t>
  </si>
  <si>
    <t>M</t>
  </si>
  <si>
    <t>L</t>
  </si>
  <si>
    <t>B</t>
  </si>
  <si>
    <t>SEAT TUBE ANGLE</t>
  </si>
  <si>
    <t>74.0°</t>
  </si>
  <si>
    <t>73.5°</t>
  </si>
  <si>
    <t>C</t>
  </si>
  <si>
    <t>E</t>
  </si>
  <si>
    <t>HEAD TUBE ANGLE</t>
  </si>
  <si>
    <t>71.0°</t>
  </si>
  <si>
    <t>H</t>
  </si>
  <si>
    <t>I</t>
  </si>
  <si>
    <t>K</t>
  </si>
  <si>
    <t>P</t>
  </si>
  <si>
    <t>TOP TUBE LENGTH (mm)</t>
  </si>
  <si>
    <t>HEAD TUBE LENGTH (mm)</t>
  </si>
  <si>
    <t>WHEELBASE (mm)</t>
  </si>
  <si>
    <t>CHAIN STAY LENGTH (mm)</t>
  </si>
  <si>
    <t>STACK (mm)</t>
  </si>
  <si>
    <t>REACH (mm)</t>
  </si>
  <si>
    <t>STAND OVER HEIGHT (mm)</t>
  </si>
  <si>
    <t>CRANK LENGTH (mm)</t>
  </si>
  <si>
    <t>min/max stack</t>
  </si>
  <si>
    <t>min/max reach</t>
  </si>
  <si>
    <t>Stack between 500mm and 650mm</t>
  </si>
  <si>
    <t>Reach between 300mm and 450mm</t>
  </si>
  <si>
    <t>Design can be either adapted (different parts) or adjusted to suit riders of 1500mm to 2000mm in height</t>
  </si>
  <si>
    <t>Wheelbase between 1000mm and 1150mm</t>
  </si>
  <si>
    <t>Adjustable wheelbase of +/- 50mm (or more)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</si>
</sst>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222222"/>
      <name val="Courier New"/>
      <family val="3"/>
    </font>
    <font>
      <sz val="11"/>
      <color rgb="FF222222"/>
      <name val="Arial"/>
      <family val="2"/>
    </font>
    <font>
      <sz val="7"/>
      <color rgb="FF222222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quotePrefix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indent="1"/>
    </xf>
    <xf numFmtId="0" fontId="3" fillId="2" borderId="1" xfId="0" applyFont="1" applyFill="1" applyBorder="1" applyAlignment="1">
      <alignment indent="1"/>
    </xf>
    <xf numFmtId="0" fontId="0" fillId="3" borderId="0" xfId="0" applyFill="1"/>
    <xf numFmtId="164" fontId="0" fillId="3" borderId="0" xfId="0" applyNumberFormat="1" applyFill="1"/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indent="1"/>
    </xf>
    <xf numFmtId="0" fontId="0" fillId="0" borderId="0" xfId="0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561216</xdr:colOff>
      <xdr:row>31</xdr:row>
      <xdr:rowOff>156612</xdr:rowOff>
    </xdr:from>
    <xdr:to>
      <xdr:col>20</xdr:col>
      <xdr:colOff>375603</xdr:colOff>
      <xdr:row>44</xdr:row>
      <xdr:rowOff>183173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B2FE18-71EC-4F79-A467-8363C7D486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57" b="57519"/>
        <a:stretch/>
      </xdr:blipFill>
      <xdr:spPr bwMode="auto">
        <a:xfrm>
          <a:off x="8818658" y="6062112"/>
          <a:ext cx="4071330" cy="2598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</xdr:colOff>
      <xdr:row>48</xdr:row>
      <xdr:rowOff>0</xdr:rowOff>
    </xdr:from>
    <xdr:to>
      <xdr:col>20</xdr:col>
      <xdr:colOff>527539</xdr:colOff>
      <xdr:row>58</xdr:row>
      <xdr:rowOff>188003</xdr:rowOff>
    </xdr:to>
    <xdr:pic>
      <xdr:nvPicPr>
        <xdr:cNvPr id="3" name="Picture 2" descr="bike diagram">
          <a:extLst>
            <a:ext uri="{FF2B5EF4-FFF2-40B4-BE49-F238E27FC236}">
              <a16:creationId xmlns:a16="http://schemas.microsoft.com/office/drawing/2014/main" id="{03519729-3C36-44AD-A73C-A86DBB6CE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5578" y="9253904"/>
          <a:ext cx="4176346" cy="209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65943</xdr:colOff>
      <xdr:row>47</xdr:row>
      <xdr:rowOff>169042</xdr:rowOff>
    </xdr:from>
    <xdr:to>
      <xdr:col>27</xdr:col>
      <xdr:colOff>110735</xdr:colOff>
      <xdr:row>58</xdr:row>
      <xdr:rowOff>168520</xdr:rowOff>
    </xdr:to>
    <xdr:pic>
      <xdr:nvPicPr>
        <xdr:cNvPr id="4" name="Picture 3" descr="Escape 3">
          <a:extLst>
            <a:ext uri="{FF2B5EF4-FFF2-40B4-BE49-F238E27FC236}">
              <a16:creationId xmlns:a16="http://schemas.microsoft.com/office/drawing/2014/main" id="{83D88EE2-0B66-462D-ABE4-A3C7B3808F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4" t="4113" r="2380" b="5425"/>
        <a:stretch/>
      </xdr:blipFill>
      <xdr:spPr bwMode="auto">
        <a:xfrm>
          <a:off x="13225097" y="9232446"/>
          <a:ext cx="3693600" cy="2094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527539</xdr:colOff>
      <xdr:row>34</xdr:row>
      <xdr:rowOff>13862</xdr:rowOff>
    </xdr:from>
    <xdr:to>
      <xdr:col>26</xdr:col>
      <xdr:colOff>478732</xdr:colOff>
      <xdr:row>44</xdr:row>
      <xdr:rowOff>124559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367959-41F7-4540-8262-6A5178F8D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8558" y="6512843"/>
          <a:ext cx="3600000" cy="2088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5AD6-7E08-4F88-97EC-47267900DBCA}">
  <dimension ref="A1:E47"/>
  <sheetViews>
    <sheetView tabSelected="1" workbookViewId="0">
      <selection activeCell="E11" sqref="E11"/>
    </sheetView>
  </sheetViews>
  <sheetFormatPr defaultRowHeight="15" x14ac:dyDescent="0.25"/>
  <cols>
    <col min="1" max="1" width="4.28515625" bestFit="1" customWidth="1"/>
    <col min="2" max="2" width="5" bestFit="1" customWidth="1"/>
    <col min="3" max="3" width="7.140625" style="3" bestFit="1" customWidth="1"/>
    <col min="4" max="4" width="11.140625" customWidth="1"/>
    <col min="5" max="5" width="64.85546875" customWidth="1"/>
    <col min="10" max="10" width="6.42578125" customWidth="1"/>
    <col min="11" max="11" width="6" customWidth="1"/>
  </cols>
  <sheetData>
    <row r="1" spans="1:5" ht="42.75" customHeight="1" x14ac:dyDescent="0.25">
      <c r="A1" s="9" t="s">
        <v>31</v>
      </c>
      <c r="B1" s="9"/>
      <c r="C1" s="9"/>
      <c r="D1" s="9"/>
      <c r="E1" s="9"/>
    </row>
    <row r="2" spans="1:5" s="1" customFormat="1" x14ac:dyDescent="0.25">
      <c r="A2" s="1" t="s">
        <v>73</v>
      </c>
      <c r="B2" s="1" t="s">
        <v>0</v>
      </c>
      <c r="C2" s="2" t="s">
        <v>1</v>
      </c>
      <c r="D2" s="1" t="s">
        <v>2</v>
      </c>
      <c r="E2" s="1" t="s">
        <v>3</v>
      </c>
    </row>
    <row r="3" spans="1:5" x14ac:dyDescent="0.25">
      <c r="A3">
        <v>1</v>
      </c>
      <c r="B3" t="s">
        <v>41</v>
      </c>
      <c r="C3" s="3" t="s">
        <v>48</v>
      </c>
      <c r="D3" t="s">
        <v>11</v>
      </c>
      <c r="E3" t="s">
        <v>74</v>
      </c>
    </row>
    <row r="4" spans="1:5" x14ac:dyDescent="0.25">
      <c r="A4">
        <v>2</v>
      </c>
      <c r="B4" t="s">
        <v>39</v>
      </c>
      <c r="C4" s="3">
        <v>3</v>
      </c>
      <c r="D4" t="s">
        <v>11</v>
      </c>
      <c r="E4" t="s">
        <v>75</v>
      </c>
    </row>
    <row r="5" spans="1:5" x14ac:dyDescent="0.25">
      <c r="A5">
        <v>3</v>
      </c>
      <c r="B5" t="s">
        <v>39</v>
      </c>
      <c r="C5" s="3">
        <v>3</v>
      </c>
      <c r="D5" t="s">
        <v>11</v>
      </c>
      <c r="E5" t="s">
        <v>77</v>
      </c>
    </row>
    <row r="6" spans="1:5" x14ac:dyDescent="0.25">
      <c r="A6">
        <v>4</v>
      </c>
      <c r="B6" t="s">
        <v>41</v>
      </c>
      <c r="C6" s="3" t="s">
        <v>48</v>
      </c>
      <c r="D6" t="s">
        <v>11</v>
      </c>
      <c r="E6" t="s">
        <v>199</v>
      </c>
    </row>
    <row r="7" spans="1:5" x14ac:dyDescent="0.25">
      <c r="A7">
        <v>5</v>
      </c>
      <c r="B7" t="s">
        <v>41</v>
      </c>
      <c r="C7" s="3" t="s">
        <v>48</v>
      </c>
      <c r="D7" t="s">
        <v>11</v>
      </c>
      <c r="E7" t="s">
        <v>200</v>
      </c>
    </row>
    <row r="8" spans="1:5" ht="30" x14ac:dyDescent="0.25">
      <c r="A8">
        <v>6</v>
      </c>
      <c r="B8" t="s">
        <v>39</v>
      </c>
      <c r="C8" s="3" t="s">
        <v>48</v>
      </c>
      <c r="D8" t="s">
        <v>11</v>
      </c>
      <c r="E8" s="4" t="s">
        <v>201</v>
      </c>
    </row>
    <row r="9" spans="1:5" x14ac:dyDescent="0.25">
      <c r="A9">
        <v>7</v>
      </c>
      <c r="B9" t="s">
        <v>41</v>
      </c>
      <c r="C9" s="3" t="s">
        <v>48</v>
      </c>
      <c r="D9" t="s">
        <v>11</v>
      </c>
      <c r="E9" t="s">
        <v>202</v>
      </c>
    </row>
    <row r="10" spans="1:5" x14ac:dyDescent="0.25">
      <c r="A10">
        <v>8</v>
      </c>
      <c r="B10" t="s">
        <v>39</v>
      </c>
      <c r="C10" s="3">
        <v>1</v>
      </c>
      <c r="D10" t="s">
        <v>11</v>
      </c>
      <c r="E10" t="s">
        <v>203</v>
      </c>
    </row>
    <row r="11" spans="1:5" x14ac:dyDescent="0.25">
      <c r="A11">
        <v>9</v>
      </c>
      <c r="B11" t="s">
        <v>41</v>
      </c>
      <c r="C11" s="3" t="s">
        <v>48</v>
      </c>
      <c r="D11" t="s">
        <v>11</v>
      </c>
      <c r="E11" t="s">
        <v>4</v>
      </c>
    </row>
    <row r="12" spans="1:5" x14ac:dyDescent="0.25">
      <c r="A12">
        <v>10</v>
      </c>
      <c r="B12" t="s">
        <v>41</v>
      </c>
      <c r="C12" s="3" t="s">
        <v>48</v>
      </c>
      <c r="D12" t="s">
        <v>11</v>
      </c>
      <c r="E12" t="s">
        <v>13</v>
      </c>
    </row>
    <row r="13" spans="1:5" x14ac:dyDescent="0.25">
      <c r="A13">
        <v>11</v>
      </c>
      <c r="B13" t="s">
        <v>41</v>
      </c>
      <c r="C13" s="3" t="s">
        <v>48</v>
      </c>
      <c r="D13" t="s">
        <v>11</v>
      </c>
      <c r="E13" t="s">
        <v>15</v>
      </c>
    </row>
    <row r="14" spans="1:5" x14ac:dyDescent="0.25">
      <c r="A14">
        <v>12</v>
      </c>
      <c r="B14" t="s">
        <v>41</v>
      </c>
      <c r="C14" s="3" t="s">
        <v>48</v>
      </c>
      <c r="D14" t="s">
        <v>11</v>
      </c>
      <c r="E14" t="s">
        <v>18</v>
      </c>
    </row>
    <row r="15" spans="1:5" x14ac:dyDescent="0.25">
      <c r="A15">
        <v>13</v>
      </c>
      <c r="B15" t="s">
        <v>41</v>
      </c>
      <c r="C15" s="3" t="s">
        <v>48</v>
      </c>
      <c r="D15" t="s">
        <v>11</v>
      </c>
      <c r="E15" t="s">
        <v>22</v>
      </c>
    </row>
    <row r="16" spans="1:5" x14ac:dyDescent="0.25">
      <c r="A16">
        <v>14</v>
      </c>
      <c r="B16" t="s">
        <v>41</v>
      </c>
      <c r="C16" s="3" t="s">
        <v>48</v>
      </c>
      <c r="D16" t="s">
        <v>11</v>
      </c>
      <c r="E16" t="s">
        <v>26</v>
      </c>
    </row>
    <row r="17" spans="1:5" x14ac:dyDescent="0.25">
      <c r="A17">
        <v>15</v>
      </c>
      <c r="B17" t="s">
        <v>41</v>
      </c>
      <c r="C17" s="3" t="s">
        <v>48</v>
      </c>
      <c r="D17" t="s">
        <v>10</v>
      </c>
      <c r="E17" t="s">
        <v>5</v>
      </c>
    </row>
    <row r="18" spans="1:5" x14ac:dyDescent="0.25">
      <c r="A18">
        <v>16</v>
      </c>
      <c r="B18" t="s">
        <v>41</v>
      </c>
      <c r="C18" s="3" t="s">
        <v>48</v>
      </c>
      <c r="D18" t="s">
        <v>10</v>
      </c>
      <c r="E18" t="s">
        <v>6</v>
      </c>
    </row>
    <row r="19" spans="1:5" x14ac:dyDescent="0.25">
      <c r="A19">
        <v>17</v>
      </c>
      <c r="B19" t="s">
        <v>41</v>
      </c>
      <c r="C19" s="3" t="s">
        <v>48</v>
      </c>
      <c r="D19" t="s">
        <v>10</v>
      </c>
      <c r="E19" t="s">
        <v>7</v>
      </c>
    </row>
    <row r="20" spans="1:5" x14ac:dyDescent="0.25">
      <c r="A20">
        <v>18</v>
      </c>
      <c r="B20" t="s">
        <v>39</v>
      </c>
      <c r="C20" s="3">
        <v>4</v>
      </c>
      <c r="D20" t="s">
        <v>10</v>
      </c>
      <c r="E20" t="s">
        <v>8</v>
      </c>
    </row>
    <row r="21" spans="1:5" x14ac:dyDescent="0.25">
      <c r="A21">
        <v>19</v>
      </c>
      <c r="B21" t="s">
        <v>41</v>
      </c>
      <c r="C21" s="3" t="s">
        <v>48</v>
      </c>
      <c r="D21" t="s">
        <v>10</v>
      </c>
      <c r="E21" t="s">
        <v>9</v>
      </c>
    </row>
    <row r="22" spans="1:5" x14ac:dyDescent="0.25">
      <c r="A22">
        <v>20</v>
      </c>
      <c r="B22" t="s">
        <v>41</v>
      </c>
      <c r="C22" s="3" t="s">
        <v>48</v>
      </c>
      <c r="D22" t="s">
        <v>12</v>
      </c>
      <c r="E22" t="s">
        <v>9</v>
      </c>
    </row>
    <row r="23" spans="1:5" x14ac:dyDescent="0.25">
      <c r="A23">
        <v>21</v>
      </c>
      <c r="B23" t="s">
        <v>39</v>
      </c>
      <c r="C23" s="3">
        <v>4</v>
      </c>
      <c r="D23" t="s">
        <v>12</v>
      </c>
      <c r="E23" t="s">
        <v>49</v>
      </c>
    </row>
    <row r="24" spans="1:5" x14ac:dyDescent="0.25">
      <c r="A24">
        <v>22</v>
      </c>
      <c r="B24" t="s">
        <v>39</v>
      </c>
      <c r="C24" s="3">
        <v>2</v>
      </c>
      <c r="D24" t="s">
        <v>12</v>
      </c>
      <c r="E24" t="s">
        <v>45</v>
      </c>
    </row>
    <row r="25" spans="1:5" x14ac:dyDescent="0.25">
      <c r="A25">
        <v>23</v>
      </c>
      <c r="B25" t="s">
        <v>41</v>
      </c>
      <c r="C25" s="3" t="s">
        <v>48</v>
      </c>
      <c r="D25" t="s">
        <v>14</v>
      </c>
      <c r="E25" t="s">
        <v>16</v>
      </c>
    </row>
    <row r="26" spans="1:5" x14ac:dyDescent="0.25">
      <c r="A26">
        <v>24</v>
      </c>
      <c r="B26" t="s">
        <v>41</v>
      </c>
      <c r="C26" s="3" t="s">
        <v>48</v>
      </c>
      <c r="D26" t="s">
        <v>14</v>
      </c>
      <c r="E26" t="s">
        <v>6</v>
      </c>
    </row>
    <row r="27" spans="1:5" x14ac:dyDescent="0.25">
      <c r="A27">
        <v>25</v>
      </c>
      <c r="B27" t="s">
        <v>39</v>
      </c>
      <c r="C27" s="3">
        <v>4</v>
      </c>
      <c r="D27" t="s">
        <v>14</v>
      </c>
      <c r="E27" t="s">
        <v>76</v>
      </c>
    </row>
    <row r="28" spans="1:5" x14ac:dyDescent="0.25">
      <c r="A28">
        <v>26</v>
      </c>
      <c r="B28" t="s">
        <v>41</v>
      </c>
      <c r="C28" s="3" t="s">
        <v>48</v>
      </c>
      <c r="D28" t="s">
        <v>17</v>
      </c>
      <c r="E28" t="s">
        <v>6</v>
      </c>
    </row>
    <row r="29" spans="1:5" x14ac:dyDescent="0.25">
      <c r="A29">
        <v>27</v>
      </c>
      <c r="B29" t="s">
        <v>41</v>
      </c>
      <c r="C29" s="3" t="s">
        <v>48</v>
      </c>
      <c r="D29" t="s">
        <v>17</v>
      </c>
      <c r="E29" t="s">
        <v>19</v>
      </c>
    </row>
    <row r="30" spans="1:5" x14ac:dyDescent="0.25">
      <c r="A30">
        <v>28</v>
      </c>
      <c r="B30" t="s">
        <v>41</v>
      </c>
      <c r="C30" s="3" t="s">
        <v>48</v>
      </c>
      <c r="D30" t="s">
        <v>17</v>
      </c>
      <c r="E30" t="s">
        <v>20</v>
      </c>
    </row>
    <row r="31" spans="1:5" x14ac:dyDescent="0.25">
      <c r="A31">
        <v>29</v>
      </c>
      <c r="B31" t="s">
        <v>41</v>
      </c>
      <c r="C31" s="3" t="s">
        <v>48</v>
      </c>
      <c r="D31" t="s">
        <v>17</v>
      </c>
      <c r="E31" t="s">
        <v>21</v>
      </c>
    </row>
    <row r="32" spans="1:5" x14ac:dyDescent="0.25">
      <c r="A32">
        <v>30</v>
      </c>
      <c r="B32" t="s">
        <v>41</v>
      </c>
      <c r="C32" s="3" t="s">
        <v>48</v>
      </c>
      <c r="D32" t="s">
        <v>23</v>
      </c>
      <c r="E32" t="s">
        <v>24</v>
      </c>
    </row>
    <row r="33" spans="1:5" x14ac:dyDescent="0.25">
      <c r="A33">
        <v>31</v>
      </c>
      <c r="B33" t="s">
        <v>41</v>
      </c>
      <c r="C33" s="3" t="s">
        <v>48</v>
      </c>
      <c r="D33" t="s">
        <v>23</v>
      </c>
      <c r="E33" t="s">
        <v>25</v>
      </c>
    </row>
    <row r="34" spans="1:5" x14ac:dyDescent="0.25">
      <c r="A34">
        <v>32</v>
      </c>
      <c r="B34" t="s">
        <v>39</v>
      </c>
      <c r="C34" s="3">
        <v>5</v>
      </c>
      <c r="D34" t="s">
        <v>27</v>
      </c>
      <c r="E34" t="s">
        <v>28</v>
      </c>
    </row>
    <row r="35" spans="1:5" x14ac:dyDescent="0.25">
      <c r="A35">
        <v>33</v>
      </c>
      <c r="B35" t="s">
        <v>41</v>
      </c>
      <c r="C35" s="3" t="s">
        <v>48</v>
      </c>
      <c r="D35" t="s">
        <v>27</v>
      </c>
      <c r="E35" t="s">
        <v>46</v>
      </c>
    </row>
    <row r="36" spans="1:5" x14ac:dyDescent="0.25">
      <c r="A36">
        <v>34</v>
      </c>
      <c r="B36" t="s">
        <v>39</v>
      </c>
      <c r="C36" s="3">
        <v>4</v>
      </c>
      <c r="D36" t="s">
        <v>36</v>
      </c>
      <c r="E36" t="s">
        <v>37</v>
      </c>
    </row>
    <row r="37" spans="1:5" x14ac:dyDescent="0.25">
      <c r="A37">
        <v>35</v>
      </c>
      <c r="B37" t="s">
        <v>39</v>
      </c>
      <c r="C37" s="3">
        <v>3</v>
      </c>
      <c r="D37" t="s">
        <v>36</v>
      </c>
      <c r="E37" t="s">
        <v>38</v>
      </c>
    </row>
    <row r="38" spans="1:5" x14ac:dyDescent="0.25">
      <c r="A38">
        <v>36</v>
      </c>
      <c r="B38" t="s">
        <v>41</v>
      </c>
      <c r="C38" s="3" t="s">
        <v>48</v>
      </c>
      <c r="D38" t="s">
        <v>36</v>
      </c>
      <c r="E38" t="s">
        <v>40</v>
      </c>
    </row>
    <row r="39" spans="1:5" x14ac:dyDescent="0.25">
      <c r="A39">
        <v>37</v>
      </c>
      <c r="B39" t="s">
        <v>39</v>
      </c>
      <c r="C39" s="3">
        <v>4</v>
      </c>
      <c r="D39" t="s">
        <v>36</v>
      </c>
      <c r="E39" t="s">
        <v>42</v>
      </c>
    </row>
    <row r="40" spans="1:5" x14ac:dyDescent="0.25">
      <c r="A40">
        <v>38</v>
      </c>
      <c r="B40" t="s">
        <v>41</v>
      </c>
      <c r="C40" s="3" t="s">
        <v>48</v>
      </c>
      <c r="D40" t="s">
        <v>36</v>
      </c>
      <c r="E40" t="s">
        <v>43</v>
      </c>
    </row>
    <row r="41" spans="1:5" x14ac:dyDescent="0.25">
      <c r="A41">
        <v>39</v>
      </c>
      <c r="B41" t="s">
        <v>41</v>
      </c>
      <c r="C41" s="3" t="s">
        <v>48</v>
      </c>
      <c r="D41" t="s">
        <v>36</v>
      </c>
      <c r="E41" t="s">
        <v>44</v>
      </c>
    </row>
    <row r="42" spans="1:5" x14ac:dyDescent="0.25">
      <c r="A42">
        <v>40</v>
      </c>
      <c r="B42" t="s">
        <v>39</v>
      </c>
      <c r="C42" s="3">
        <v>5</v>
      </c>
      <c r="D42" t="s">
        <v>29</v>
      </c>
      <c r="E42" t="s">
        <v>30</v>
      </c>
    </row>
    <row r="43" spans="1:5" x14ac:dyDescent="0.25">
      <c r="A43">
        <v>41</v>
      </c>
      <c r="B43" t="s">
        <v>41</v>
      </c>
      <c r="C43" s="3" t="s">
        <v>48</v>
      </c>
      <c r="D43" t="s">
        <v>29</v>
      </c>
      <c r="E43" t="s">
        <v>32</v>
      </c>
    </row>
    <row r="44" spans="1:5" x14ac:dyDescent="0.25">
      <c r="A44">
        <v>42</v>
      </c>
      <c r="B44" t="s">
        <v>41</v>
      </c>
      <c r="C44" s="3" t="s">
        <v>48</v>
      </c>
      <c r="D44" t="s">
        <v>29</v>
      </c>
      <c r="E44" t="s">
        <v>47</v>
      </c>
    </row>
    <row r="45" spans="1:5" x14ac:dyDescent="0.25">
      <c r="A45">
        <v>43</v>
      </c>
      <c r="B45" t="s">
        <v>41</v>
      </c>
      <c r="C45" s="3" t="s">
        <v>48</v>
      </c>
      <c r="D45" t="s">
        <v>29</v>
      </c>
      <c r="E45" t="s">
        <v>33</v>
      </c>
    </row>
    <row r="46" spans="1:5" x14ac:dyDescent="0.25">
      <c r="A46">
        <v>44</v>
      </c>
      <c r="B46" t="s">
        <v>41</v>
      </c>
      <c r="C46" s="3" t="s">
        <v>48</v>
      </c>
      <c r="D46" t="s">
        <v>29</v>
      </c>
      <c r="E46" t="s">
        <v>34</v>
      </c>
    </row>
    <row r="47" spans="1:5" x14ac:dyDescent="0.25">
      <c r="A47">
        <v>45</v>
      </c>
      <c r="B47" t="s">
        <v>39</v>
      </c>
      <c r="C47" s="3">
        <v>5</v>
      </c>
      <c r="D47" t="s">
        <v>29</v>
      </c>
      <c r="E47" t="s">
        <v>35</v>
      </c>
    </row>
  </sheetData>
  <autoFilter ref="A2:E47" xr:uid="{D677DBE1-E3E9-4679-8C21-9FF7798B2C6E}">
    <sortState xmlns:xlrd2="http://schemas.microsoft.com/office/spreadsheetml/2017/richdata2" ref="A3:E47">
      <sortCondition ref="A2:A47"/>
    </sortState>
  </autoFilter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9CDE-2ACC-4300-AB58-DC0F6A745C84}">
  <dimension ref="A1:E28"/>
  <sheetViews>
    <sheetView workbookViewId="0">
      <selection activeCell="E31" sqref="E31"/>
    </sheetView>
  </sheetViews>
  <sheetFormatPr defaultRowHeight="15" x14ac:dyDescent="0.25"/>
  <cols>
    <col min="1" max="1" width="3" style="4" bestFit="1" customWidth="1"/>
    <col min="2" max="2" width="5" style="4" bestFit="1" customWidth="1"/>
    <col min="3" max="3" width="7.140625" style="7" bestFit="1" customWidth="1"/>
    <col min="4" max="4" width="13.5703125" style="4" bestFit="1" customWidth="1"/>
    <col min="5" max="5" width="65.5703125" style="4" customWidth="1"/>
    <col min="6" max="16384" width="9.140625" style="4"/>
  </cols>
  <sheetData>
    <row r="1" spans="1:5" ht="47.25" customHeight="1" x14ac:dyDescent="0.25">
      <c r="A1" s="10" t="s">
        <v>31</v>
      </c>
      <c r="B1" s="10"/>
      <c r="C1" s="10"/>
      <c r="D1" s="10"/>
      <c r="E1" s="10"/>
    </row>
    <row r="2" spans="1:5" ht="30" x14ac:dyDescent="0.25">
      <c r="A2" s="4" t="s">
        <v>73</v>
      </c>
      <c r="B2" s="5" t="s">
        <v>0</v>
      </c>
      <c r="C2" s="6" t="s">
        <v>1</v>
      </c>
      <c r="D2" s="5" t="s">
        <v>2</v>
      </c>
      <c r="E2" s="5" t="s">
        <v>3</v>
      </c>
    </row>
    <row r="3" spans="1:5" x14ac:dyDescent="0.25">
      <c r="A3" s="4">
        <v>1</v>
      </c>
      <c r="B3" s="4" t="s">
        <v>41</v>
      </c>
      <c r="C3" s="7" t="s">
        <v>48</v>
      </c>
      <c r="D3" s="4" t="s">
        <v>51</v>
      </c>
      <c r="E3" s="4" t="s">
        <v>57</v>
      </c>
    </row>
    <row r="4" spans="1:5" x14ac:dyDescent="0.25">
      <c r="A4" s="4">
        <v>2</v>
      </c>
      <c r="B4" s="4" t="s">
        <v>41</v>
      </c>
      <c r="C4" s="7" t="s">
        <v>48</v>
      </c>
      <c r="D4" s="4" t="s">
        <v>51</v>
      </c>
      <c r="E4" s="4" t="s">
        <v>69</v>
      </c>
    </row>
    <row r="5" spans="1:5" x14ac:dyDescent="0.25">
      <c r="A5" s="4">
        <v>3</v>
      </c>
      <c r="B5" s="4" t="s">
        <v>39</v>
      </c>
      <c r="C5" s="7">
        <v>3</v>
      </c>
      <c r="D5" s="4" t="s">
        <v>51</v>
      </c>
      <c r="E5" s="4" t="s">
        <v>71</v>
      </c>
    </row>
    <row r="6" spans="1:5" x14ac:dyDescent="0.25">
      <c r="A6" s="4">
        <v>4</v>
      </c>
      <c r="B6" s="4" t="s">
        <v>39</v>
      </c>
      <c r="C6" s="7">
        <v>3</v>
      </c>
      <c r="D6" s="4" t="s">
        <v>51</v>
      </c>
      <c r="E6" s="4" t="s">
        <v>70</v>
      </c>
    </row>
    <row r="7" spans="1:5" x14ac:dyDescent="0.25">
      <c r="A7" s="4">
        <v>5</v>
      </c>
      <c r="B7" s="4" t="s">
        <v>41</v>
      </c>
      <c r="C7" s="7" t="s">
        <v>48</v>
      </c>
      <c r="D7" s="4" t="s">
        <v>50</v>
      </c>
      <c r="E7" s="4" t="s">
        <v>53</v>
      </c>
    </row>
    <row r="8" spans="1:5" x14ac:dyDescent="0.25">
      <c r="A8" s="4">
        <v>6</v>
      </c>
      <c r="B8" s="4" t="s">
        <v>41</v>
      </c>
      <c r="C8" s="7" t="s">
        <v>48</v>
      </c>
      <c r="D8" s="4" t="s">
        <v>50</v>
      </c>
      <c r="E8" s="4" t="s">
        <v>54</v>
      </c>
    </row>
    <row r="9" spans="1:5" x14ac:dyDescent="0.25">
      <c r="A9" s="4">
        <v>7</v>
      </c>
      <c r="B9" s="4" t="s">
        <v>41</v>
      </c>
      <c r="C9" s="7" t="s">
        <v>48</v>
      </c>
      <c r="D9" s="4" t="s">
        <v>50</v>
      </c>
      <c r="E9" s="4" t="s">
        <v>68</v>
      </c>
    </row>
    <row r="10" spans="1:5" ht="16.5" customHeight="1" x14ac:dyDescent="0.25">
      <c r="A10" s="4">
        <v>8</v>
      </c>
      <c r="B10" s="4" t="s">
        <v>41</v>
      </c>
      <c r="C10" s="7" t="s">
        <v>48</v>
      </c>
      <c r="D10" s="4" t="s">
        <v>64</v>
      </c>
      <c r="E10" s="4" t="s">
        <v>65</v>
      </c>
    </row>
    <row r="11" spans="1:5" ht="16.5" customHeight="1" x14ac:dyDescent="0.25">
      <c r="A11" s="4">
        <v>9</v>
      </c>
      <c r="B11" s="4" t="s">
        <v>41</v>
      </c>
      <c r="C11" s="7" t="s">
        <v>48</v>
      </c>
      <c r="D11" s="4" t="s">
        <v>64</v>
      </c>
      <c r="E11" s="4" t="s">
        <v>66</v>
      </c>
    </row>
    <row r="12" spans="1:5" x14ac:dyDescent="0.25">
      <c r="A12" s="4">
        <v>10</v>
      </c>
      <c r="B12" s="4" t="s">
        <v>41</v>
      </c>
      <c r="C12" s="7" t="s">
        <v>48</v>
      </c>
      <c r="D12" s="4" t="s">
        <v>52</v>
      </c>
      <c r="E12" s="4" t="s">
        <v>55</v>
      </c>
    </row>
    <row r="13" spans="1:5" x14ac:dyDescent="0.25">
      <c r="A13" s="4">
        <v>11</v>
      </c>
      <c r="B13" s="4" t="s">
        <v>39</v>
      </c>
      <c r="C13" s="7">
        <v>5</v>
      </c>
      <c r="D13" s="4" t="s">
        <v>52</v>
      </c>
      <c r="E13" s="4" t="s">
        <v>56</v>
      </c>
    </row>
    <row r="14" spans="1:5" ht="30" x14ac:dyDescent="0.25">
      <c r="A14" s="4">
        <v>12</v>
      </c>
      <c r="B14" s="4" t="s">
        <v>41</v>
      </c>
      <c r="C14" s="7" t="s">
        <v>48</v>
      </c>
      <c r="D14" s="4" t="s">
        <v>52</v>
      </c>
      <c r="E14" s="4" t="s">
        <v>59</v>
      </c>
    </row>
    <row r="15" spans="1:5" ht="30" x14ac:dyDescent="0.25">
      <c r="A15" s="4">
        <v>13</v>
      </c>
      <c r="B15" s="4" t="s">
        <v>39</v>
      </c>
      <c r="C15" s="7">
        <v>4</v>
      </c>
      <c r="D15" s="4" t="s">
        <v>52</v>
      </c>
      <c r="E15" s="4" t="s">
        <v>60</v>
      </c>
    </row>
    <row r="16" spans="1:5" x14ac:dyDescent="0.25">
      <c r="A16" s="4">
        <v>14</v>
      </c>
      <c r="B16" s="4" t="s">
        <v>39</v>
      </c>
      <c r="C16" s="7">
        <v>4</v>
      </c>
      <c r="D16" s="4" t="s">
        <v>52</v>
      </c>
      <c r="E16" s="4" t="s">
        <v>61</v>
      </c>
    </row>
    <row r="17" spans="1:5" x14ac:dyDescent="0.25">
      <c r="A17" s="4">
        <v>15</v>
      </c>
      <c r="B17" s="4" t="s">
        <v>41</v>
      </c>
      <c r="C17" s="7" t="s">
        <v>48</v>
      </c>
      <c r="D17" s="4" t="s">
        <v>52</v>
      </c>
      <c r="E17" s="4" t="s">
        <v>62</v>
      </c>
    </row>
    <row r="18" spans="1:5" x14ac:dyDescent="0.25">
      <c r="A18" s="4">
        <v>16</v>
      </c>
      <c r="B18" s="4" t="s">
        <v>41</v>
      </c>
      <c r="C18" s="7" t="s">
        <v>48</v>
      </c>
      <c r="D18" s="4" t="s">
        <v>52</v>
      </c>
      <c r="E18" s="4" t="s">
        <v>63</v>
      </c>
    </row>
    <row r="19" spans="1:5" x14ac:dyDescent="0.25">
      <c r="A19" s="4">
        <v>17</v>
      </c>
      <c r="B19" s="4" t="s">
        <v>39</v>
      </c>
      <c r="C19" s="7">
        <v>5</v>
      </c>
      <c r="D19" s="4" t="s">
        <v>52</v>
      </c>
      <c r="E19" s="4" t="s">
        <v>30</v>
      </c>
    </row>
    <row r="20" spans="1:5" x14ac:dyDescent="0.25">
      <c r="A20" s="4">
        <v>18</v>
      </c>
      <c r="B20" s="4" t="s">
        <v>41</v>
      </c>
      <c r="C20" s="7" t="s">
        <v>48</v>
      </c>
      <c r="D20" s="4" t="s">
        <v>52</v>
      </c>
      <c r="E20" s="4" t="s">
        <v>67</v>
      </c>
    </row>
    <row r="21" spans="1:5" x14ac:dyDescent="0.25">
      <c r="A21" s="4">
        <v>19</v>
      </c>
      <c r="B21" s="4" t="s">
        <v>41</v>
      </c>
      <c r="C21" s="7" t="s">
        <v>48</v>
      </c>
      <c r="D21" s="4" t="s">
        <v>36</v>
      </c>
      <c r="E21" s="8" t="s">
        <v>72</v>
      </c>
    </row>
    <row r="22" spans="1:5" x14ac:dyDescent="0.25">
      <c r="A22" s="4">
        <v>20</v>
      </c>
      <c r="B22" s="4" t="s">
        <v>41</v>
      </c>
      <c r="C22" s="7" t="s">
        <v>48</v>
      </c>
      <c r="D22" s="4" t="s">
        <v>36</v>
      </c>
      <c r="E22" s="4" t="s">
        <v>58</v>
      </c>
    </row>
    <row r="23" spans="1:5" x14ac:dyDescent="0.25">
      <c r="A23" s="4">
        <v>21</v>
      </c>
      <c r="B23" s="4" t="s">
        <v>39</v>
      </c>
      <c r="C23" s="7">
        <v>4</v>
      </c>
      <c r="D23" s="4" t="s">
        <v>36</v>
      </c>
      <c r="E23" s="4" t="s">
        <v>37</v>
      </c>
    </row>
    <row r="24" spans="1:5" x14ac:dyDescent="0.25">
      <c r="A24" s="4">
        <v>22</v>
      </c>
      <c r="B24" s="4" t="s">
        <v>39</v>
      </c>
      <c r="C24" s="7">
        <v>3</v>
      </c>
      <c r="D24" s="4" t="s">
        <v>36</v>
      </c>
      <c r="E24" s="4" t="s">
        <v>38</v>
      </c>
    </row>
    <row r="25" spans="1:5" x14ac:dyDescent="0.25">
      <c r="A25" s="4">
        <v>23</v>
      </c>
      <c r="B25" s="4" t="s">
        <v>41</v>
      </c>
      <c r="C25" s="7" t="s">
        <v>48</v>
      </c>
      <c r="D25" s="4" t="s">
        <v>36</v>
      </c>
      <c r="E25" s="4" t="s">
        <v>40</v>
      </c>
    </row>
    <row r="26" spans="1:5" x14ac:dyDescent="0.25">
      <c r="A26" s="4">
        <v>24</v>
      </c>
      <c r="B26" s="4" t="s">
        <v>39</v>
      </c>
      <c r="C26" s="7">
        <v>4</v>
      </c>
      <c r="D26" s="4" t="s">
        <v>36</v>
      </c>
      <c r="E26" s="4" t="s">
        <v>42</v>
      </c>
    </row>
    <row r="27" spans="1:5" x14ac:dyDescent="0.25">
      <c r="A27" s="4">
        <v>25</v>
      </c>
      <c r="B27" s="4" t="s">
        <v>41</v>
      </c>
      <c r="C27" s="7" t="s">
        <v>48</v>
      </c>
      <c r="D27" s="4" t="s">
        <v>36</v>
      </c>
      <c r="E27" s="4" t="s">
        <v>43</v>
      </c>
    </row>
    <row r="28" spans="1:5" x14ac:dyDescent="0.25">
      <c r="A28" s="4">
        <v>26</v>
      </c>
      <c r="B28" s="4" t="s">
        <v>41</v>
      </c>
      <c r="C28" s="7" t="s">
        <v>48</v>
      </c>
      <c r="D28" s="4" t="s">
        <v>36</v>
      </c>
      <c r="E28" s="4" t="s">
        <v>44</v>
      </c>
    </row>
  </sheetData>
  <autoFilter ref="A2:E28" xr:uid="{2D04EDC7-76D8-4E49-99EE-A28360DC2B16}">
    <sortState xmlns:xlrd2="http://schemas.microsoft.com/office/spreadsheetml/2017/richdata2" ref="A3:E28">
      <sortCondition ref="A2:A28"/>
    </sortState>
  </autoFilter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00AC-6369-444E-97A7-570DF9A097D2}">
  <dimension ref="B2:M61"/>
  <sheetViews>
    <sheetView topLeftCell="A31" zoomScale="130" zoomScaleNormal="130" workbookViewId="0">
      <selection activeCell="I9" sqref="I9"/>
    </sheetView>
  </sheetViews>
  <sheetFormatPr defaultRowHeight="15" x14ac:dyDescent="0.25"/>
  <cols>
    <col min="6" max="6" width="8.28515625" customWidth="1"/>
    <col min="8" max="8" width="24.42578125" customWidth="1"/>
    <col min="9" max="9" width="14" bestFit="1" customWidth="1"/>
    <col min="10" max="10" width="14.42578125" bestFit="1" customWidth="1"/>
    <col min="17" max="17" width="0" hidden="1" customWidth="1"/>
  </cols>
  <sheetData>
    <row r="2" spans="2:10" x14ac:dyDescent="0.25">
      <c r="B2" t="s">
        <v>90</v>
      </c>
    </row>
    <row r="3" spans="2:10" x14ac:dyDescent="0.25">
      <c r="C3" s="11" t="s">
        <v>79</v>
      </c>
      <c r="D3" s="11"/>
      <c r="I3" s="11"/>
      <c r="J3" s="11"/>
    </row>
    <row r="4" spans="2:10" x14ac:dyDescent="0.25">
      <c r="B4" t="s">
        <v>78</v>
      </c>
      <c r="C4" t="s">
        <v>82</v>
      </c>
      <c r="D4" t="s">
        <v>83</v>
      </c>
      <c r="E4" t="s">
        <v>80</v>
      </c>
      <c r="F4" t="s">
        <v>81</v>
      </c>
      <c r="G4" t="s">
        <v>170</v>
      </c>
      <c r="I4" s="23" t="s">
        <v>197</v>
      </c>
      <c r="J4" s="23" t="s">
        <v>198</v>
      </c>
    </row>
    <row r="5" spans="2:10" x14ac:dyDescent="0.25">
      <c r="B5" t="s">
        <v>87</v>
      </c>
      <c r="C5">
        <v>147</v>
      </c>
      <c r="D5">
        <v>160</v>
      </c>
      <c r="E5" s="12">
        <v>60.4</v>
      </c>
      <c r="F5">
        <v>38.200000000000003</v>
      </c>
      <c r="G5" s="12">
        <f>SQRT(F5^2+E5^2)</f>
        <v>71.466075868204769</v>
      </c>
      <c r="I5" s="24">
        <f>MIN(E5:E10,C15:C20,C25:C29,C34:C38,C43:C47,C51:C53)</f>
        <v>52.4</v>
      </c>
      <c r="J5" s="24">
        <f>MIN(F5:F10,D15:D20,D25:D29,D34:D38,D43:D47,D51:D53)</f>
        <v>33.9</v>
      </c>
    </row>
    <row r="6" spans="2:10" x14ac:dyDescent="0.25">
      <c r="B6" s="16" t="s">
        <v>88</v>
      </c>
      <c r="C6" s="16">
        <v>157</v>
      </c>
      <c r="D6" s="16">
        <v>170</v>
      </c>
      <c r="E6" s="17">
        <v>61.5</v>
      </c>
      <c r="F6" s="16">
        <v>38.700000000000003</v>
      </c>
      <c r="G6" s="17">
        <f t="shared" ref="G6:G10" si="0">SQRT(F6^2+E6^2)</f>
        <v>72.663195635754974</v>
      </c>
      <c r="I6" s="24">
        <f>MAX(E5:E10,C15:C20,C25:C29,C34:C38,C43:C47,C51:C53)</f>
        <v>65.099999999999994</v>
      </c>
      <c r="J6" s="24">
        <f>MAX(F5:F10,D15:D20,D25:D29,D34:D38,D43:D47,D51:D53)</f>
        <v>42.6</v>
      </c>
    </row>
    <row r="7" spans="2:10" x14ac:dyDescent="0.25">
      <c r="B7" t="s">
        <v>89</v>
      </c>
      <c r="C7">
        <v>167</v>
      </c>
      <c r="D7">
        <v>180</v>
      </c>
      <c r="E7" s="12">
        <v>62.4</v>
      </c>
      <c r="F7">
        <v>39.9</v>
      </c>
      <c r="G7" s="12">
        <f t="shared" si="0"/>
        <v>74.065984095264668</v>
      </c>
    </row>
    <row r="8" spans="2:10" x14ac:dyDescent="0.25">
      <c r="B8" s="16" t="s">
        <v>84</v>
      </c>
      <c r="C8" s="16">
        <v>160</v>
      </c>
      <c r="D8" s="16">
        <v>172</v>
      </c>
      <c r="E8" s="17">
        <v>60.2</v>
      </c>
      <c r="F8" s="16">
        <v>39.1</v>
      </c>
      <c r="G8" s="17">
        <f t="shared" si="0"/>
        <v>71.783354616512597</v>
      </c>
    </row>
    <row r="9" spans="2:10" x14ac:dyDescent="0.25">
      <c r="B9" t="s">
        <v>85</v>
      </c>
      <c r="C9">
        <v>167</v>
      </c>
      <c r="D9">
        <v>180</v>
      </c>
      <c r="E9" s="12">
        <v>62.5</v>
      </c>
      <c r="F9">
        <v>40.9</v>
      </c>
      <c r="G9" s="12">
        <f t="shared" si="0"/>
        <v>74.693105438186194</v>
      </c>
    </row>
    <row r="10" spans="2:10" x14ac:dyDescent="0.25">
      <c r="B10" t="s">
        <v>86</v>
      </c>
      <c r="C10">
        <v>175</v>
      </c>
      <c r="D10">
        <v>188</v>
      </c>
      <c r="E10" s="12">
        <v>65.099999999999994</v>
      </c>
      <c r="F10">
        <v>42.6</v>
      </c>
      <c r="G10" s="12">
        <f t="shared" si="0"/>
        <v>77.799550127234028</v>
      </c>
    </row>
    <row r="12" spans="2:10" x14ac:dyDescent="0.25">
      <c r="B12" t="s">
        <v>91</v>
      </c>
    </row>
    <row r="13" spans="2:10" x14ac:dyDescent="0.25">
      <c r="C13" s="11" t="s">
        <v>79</v>
      </c>
      <c r="D13" s="11"/>
    </row>
    <row r="14" spans="2:10" x14ac:dyDescent="0.25">
      <c r="B14" t="s">
        <v>78</v>
      </c>
      <c r="C14" t="s">
        <v>80</v>
      </c>
      <c r="D14" t="s">
        <v>81</v>
      </c>
      <c r="E14" t="s">
        <v>170</v>
      </c>
    </row>
    <row r="15" spans="2:10" x14ac:dyDescent="0.25">
      <c r="B15" s="16" t="s">
        <v>87</v>
      </c>
      <c r="C15" s="16">
        <v>60.7</v>
      </c>
      <c r="D15" s="16">
        <v>33.9</v>
      </c>
      <c r="E15" s="17">
        <f>SQRT(D15^2+C15^2)</f>
        <v>69.524815713527786</v>
      </c>
    </row>
    <row r="16" spans="2:10" x14ac:dyDescent="0.25">
      <c r="B16" t="s">
        <v>93</v>
      </c>
      <c r="C16">
        <v>62.6</v>
      </c>
      <c r="D16">
        <v>36.200000000000003</v>
      </c>
      <c r="E16" s="12">
        <f t="shared" ref="E16:E20" si="1">SQRT(D16^2+C16^2)</f>
        <v>72.313207645630001</v>
      </c>
    </row>
    <row r="17" spans="2:13" x14ac:dyDescent="0.25">
      <c r="B17" s="16" t="s">
        <v>84</v>
      </c>
      <c r="C17" s="16">
        <v>61.7</v>
      </c>
      <c r="D17" s="16">
        <v>34.799999999999997</v>
      </c>
      <c r="E17" s="17">
        <f t="shared" si="1"/>
        <v>70.837348905785575</v>
      </c>
    </row>
    <row r="18" spans="2:13" x14ac:dyDescent="0.25">
      <c r="B18" t="s">
        <v>85</v>
      </c>
      <c r="C18">
        <v>62.6</v>
      </c>
      <c r="D18">
        <v>36.200000000000003</v>
      </c>
      <c r="E18" s="12">
        <f t="shared" si="1"/>
        <v>72.313207645630001</v>
      </c>
    </row>
    <row r="19" spans="2:13" x14ac:dyDescent="0.25">
      <c r="B19" t="s">
        <v>86</v>
      </c>
      <c r="C19">
        <v>63.5</v>
      </c>
      <c r="D19">
        <v>37.4</v>
      </c>
      <c r="E19" s="12">
        <f t="shared" si="1"/>
        <v>73.69538655845426</v>
      </c>
    </row>
    <row r="20" spans="2:13" x14ac:dyDescent="0.25">
      <c r="B20" t="s">
        <v>92</v>
      </c>
      <c r="C20">
        <v>64.5</v>
      </c>
      <c r="D20">
        <v>39</v>
      </c>
      <c r="E20" s="12">
        <f t="shared" si="1"/>
        <v>75.374067158406675</v>
      </c>
    </row>
    <row r="22" spans="2:13" x14ac:dyDescent="0.25">
      <c r="B22" t="s">
        <v>94</v>
      </c>
    </row>
    <row r="23" spans="2:13" x14ac:dyDescent="0.25">
      <c r="C23" s="11" t="s">
        <v>79</v>
      </c>
      <c r="D23" s="11"/>
    </row>
    <row r="24" spans="2:13" x14ac:dyDescent="0.25">
      <c r="B24" t="s">
        <v>78</v>
      </c>
      <c r="C24" t="s">
        <v>80</v>
      </c>
      <c r="D24" t="s">
        <v>81</v>
      </c>
      <c r="E24" t="s">
        <v>170</v>
      </c>
    </row>
    <row r="25" spans="2:13" x14ac:dyDescent="0.25">
      <c r="B25" s="16" t="s">
        <v>95</v>
      </c>
      <c r="C25" s="16">
        <v>58.4</v>
      </c>
      <c r="D25" s="16">
        <v>38.9</v>
      </c>
      <c r="E25" s="17">
        <f>SQRT(D25^2+C25^2)</f>
        <v>70.169580303718504</v>
      </c>
    </row>
    <row r="26" spans="2:13" x14ac:dyDescent="0.25">
      <c r="B26" t="s">
        <v>96</v>
      </c>
      <c r="C26">
        <v>59.9</v>
      </c>
      <c r="D26">
        <v>39.799999999999997</v>
      </c>
      <c r="E26" s="12">
        <f t="shared" ref="E26:E29" si="2">SQRT(D26^2+C26^2)</f>
        <v>71.916966009419497</v>
      </c>
    </row>
    <row r="27" spans="2:13" x14ac:dyDescent="0.25">
      <c r="B27" t="s">
        <v>97</v>
      </c>
      <c r="C27">
        <v>61.6</v>
      </c>
      <c r="D27">
        <v>40.700000000000003</v>
      </c>
      <c r="E27" s="12">
        <f t="shared" si="2"/>
        <v>73.83122645601928</v>
      </c>
    </row>
    <row r="28" spans="2:13" x14ac:dyDescent="0.25">
      <c r="B28" t="s">
        <v>98</v>
      </c>
      <c r="C28">
        <v>63.2</v>
      </c>
      <c r="D28">
        <v>41.5</v>
      </c>
      <c r="E28" s="12">
        <f t="shared" si="2"/>
        <v>75.607473175606131</v>
      </c>
    </row>
    <row r="29" spans="2:13" x14ac:dyDescent="0.25">
      <c r="B29" t="s">
        <v>99</v>
      </c>
      <c r="C29">
        <v>64.5</v>
      </c>
      <c r="D29">
        <v>42.5</v>
      </c>
      <c r="E29" s="12">
        <f t="shared" si="2"/>
        <v>77.243122671212618</v>
      </c>
    </row>
    <row r="30" spans="2:13" x14ac:dyDescent="0.25">
      <c r="H30" t="s">
        <v>100</v>
      </c>
    </row>
    <row r="31" spans="2:13" x14ac:dyDescent="0.25">
      <c r="B31" t="s">
        <v>100</v>
      </c>
      <c r="H31" s="13"/>
      <c r="I31" s="18" t="s">
        <v>101</v>
      </c>
      <c r="J31" s="13" t="s">
        <v>102</v>
      </c>
      <c r="K31" s="13" t="s">
        <v>103</v>
      </c>
      <c r="L31" s="13" t="s">
        <v>104</v>
      </c>
      <c r="M31" s="13" t="s">
        <v>105</v>
      </c>
    </row>
    <row r="32" spans="2:13" ht="15.75" thickBot="1" x14ac:dyDescent="0.3">
      <c r="C32" s="11" t="s">
        <v>79</v>
      </c>
      <c r="D32" s="11"/>
      <c r="H32" s="14" t="s">
        <v>106</v>
      </c>
      <c r="I32" s="19" t="s">
        <v>107</v>
      </c>
      <c r="J32" s="15" t="s">
        <v>108</v>
      </c>
      <c r="K32" s="15" t="s">
        <v>109</v>
      </c>
      <c r="L32" s="15" t="s">
        <v>110</v>
      </c>
      <c r="M32" s="15" t="s">
        <v>111</v>
      </c>
    </row>
    <row r="33" spans="2:13" ht="15.75" thickBot="1" x14ac:dyDescent="0.3">
      <c r="B33" t="s">
        <v>78</v>
      </c>
      <c r="C33" t="s">
        <v>80</v>
      </c>
      <c r="D33" t="s">
        <v>81</v>
      </c>
      <c r="E33" t="s">
        <v>170</v>
      </c>
      <c r="H33" s="14" t="s">
        <v>112</v>
      </c>
      <c r="I33" s="19" t="s">
        <v>113</v>
      </c>
      <c r="J33" s="15" t="s">
        <v>114</v>
      </c>
      <c r="K33" s="15" t="s">
        <v>115</v>
      </c>
      <c r="L33" s="15" t="s">
        <v>116</v>
      </c>
      <c r="M33" s="15" t="s">
        <v>117</v>
      </c>
    </row>
    <row r="34" spans="2:13" ht="15.75" thickBot="1" x14ac:dyDescent="0.3">
      <c r="B34" s="16" t="s">
        <v>95</v>
      </c>
      <c r="C34" s="16">
        <v>55.4</v>
      </c>
      <c r="D34" s="16">
        <v>38.799999999999997</v>
      </c>
      <c r="E34" s="17">
        <f>SQRT(D34^2+C34^2)</f>
        <v>67.635789342625401</v>
      </c>
      <c r="H34" s="14" t="s">
        <v>118</v>
      </c>
      <c r="I34" s="19" t="s">
        <v>119</v>
      </c>
      <c r="J34" s="15" t="s">
        <v>119</v>
      </c>
      <c r="K34" s="15" t="s">
        <v>119</v>
      </c>
      <c r="L34" s="15" t="s">
        <v>119</v>
      </c>
      <c r="M34" s="15" t="s">
        <v>119</v>
      </c>
    </row>
    <row r="35" spans="2:13" ht="15.75" thickBot="1" x14ac:dyDescent="0.3">
      <c r="B35" t="s">
        <v>96</v>
      </c>
      <c r="C35">
        <v>57.8</v>
      </c>
      <c r="D35">
        <v>39.6</v>
      </c>
      <c r="E35" s="12">
        <f t="shared" ref="E35:E38" si="3">SQRT(D35^2+C35^2)</f>
        <v>70.064256222413434</v>
      </c>
      <c r="H35" s="14" t="s">
        <v>120</v>
      </c>
      <c r="I35" s="19" t="s">
        <v>121</v>
      </c>
      <c r="J35" s="15" t="s">
        <v>121</v>
      </c>
      <c r="K35" s="15" t="s">
        <v>121</v>
      </c>
      <c r="L35" s="15" t="s">
        <v>121</v>
      </c>
      <c r="M35" s="15" t="s">
        <v>121</v>
      </c>
    </row>
    <row r="36" spans="2:13" ht="15.75" thickBot="1" x14ac:dyDescent="0.3">
      <c r="B36" t="s">
        <v>97</v>
      </c>
      <c r="C36">
        <v>60.2</v>
      </c>
      <c r="D36">
        <v>40.4</v>
      </c>
      <c r="E36" s="12">
        <f t="shared" si="3"/>
        <v>72.499655171593758</v>
      </c>
      <c r="H36" s="14" t="s">
        <v>122</v>
      </c>
      <c r="I36" s="19" t="s">
        <v>123</v>
      </c>
      <c r="J36" s="15" t="s">
        <v>124</v>
      </c>
      <c r="K36" s="15" t="s">
        <v>125</v>
      </c>
      <c r="L36" s="15" t="s">
        <v>126</v>
      </c>
      <c r="M36" s="15" t="s">
        <v>127</v>
      </c>
    </row>
    <row r="37" spans="2:13" ht="15.75" thickBot="1" x14ac:dyDescent="0.3">
      <c r="B37" t="s">
        <v>98</v>
      </c>
      <c r="C37">
        <v>62.6</v>
      </c>
      <c r="D37">
        <v>41.2</v>
      </c>
      <c r="E37" s="12">
        <f t="shared" si="3"/>
        <v>74.94131037018235</v>
      </c>
      <c r="H37" s="14" t="s">
        <v>128</v>
      </c>
      <c r="I37" s="19" t="s">
        <v>129</v>
      </c>
      <c r="J37" s="15" t="s">
        <v>130</v>
      </c>
      <c r="K37" s="15" t="s">
        <v>131</v>
      </c>
      <c r="L37" s="15" t="s">
        <v>132</v>
      </c>
      <c r="M37" s="15" t="s">
        <v>133</v>
      </c>
    </row>
    <row r="38" spans="2:13" ht="15.75" thickBot="1" x14ac:dyDescent="0.3">
      <c r="B38" t="s">
        <v>99</v>
      </c>
      <c r="C38">
        <v>65</v>
      </c>
      <c r="D38">
        <v>42</v>
      </c>
      <c r="E38" s="12">
        <f t="shared" si="3"/>
        <v>77.388629655783419</v>
      </c>
      <c r="H38" s="14" t="s">
        <v>134</v>
      </c>
      <c r="I38" s="19" t="s">
        <v>135</v>
      </c>
      <c r="J38" s="15" t="s">
        <v>136</v>
      </c>
      <c r="K38" s="15" t="s">
        <v>137</v>
      </c>
      <c r="L38" s="15" t="s">
        <v>138</v>
      </c>
      <c r="M38" s="15" t="s">
        <v>139</v>
      </c>
    </row>
    <row r="39" spans="2:13" ht="15.75" thickBot="1" x14ac:dyDescent="0.3">
      <c r="H39" s="14" t="s">
        <v>140</v>
      </c>
      <c r="I39" s="19" t="s">
        <v>141</v>
      </c>
      <c r="J39" s="15" t="s">
        <v>142</v>
      </c>
      <c r="K39" s="15" t="s">
        <v>143</v>
      </c>
      <c r="L39" s="15" t="s">
        <v>144</v>
      </c>
      <c r="M39" s="15" t="s">
        <v>145</v>
      </c>
    </row>
    <row r="40" spans="2:13" ht="15.75" thickBot="1" x14ac:dyDescent="0.3">
      <c r="B40" t="s">
        <v>168</v>
      </c>
      <c r="H40" s="14" t="s">
        <v>146</v>
      </c>
      <c r="I40" s="19" t="s">
        <v>147</v>
      </c>
      <c r="J40" s="15" t="s">
        <v>147</v>
      </c>
      <c r="K40" s="15" t="s">
        <v>147</v>
      </c>
      <c r="L40" s="15" t="s">
        <v>147</v>
      </c>
      <c r="M40" s="15" t="s">
        <v>147</v>
      </c>
    </row>
    <row r="41" spans="2:13" ht="15.75" thickBot="1" x14ac:dyDescent="0.3">
      <c r="C41" s="11" t="s">
        <v>79</v>
      </c>
      <c r="D41" s="11"/>
      <c r="H41" s="14" t="s">
        <v>148</v>
      </c>
      <c r="I41" s="19" t="s">
        <v>149</v>
      </c>
      <c r="J41" s="15" t="s">
        <v>149</v>
      </c>
      <c r="K41" s="15" t="s">
        <v>149</v>
      </c>
      <c r="L41" s="15" t="s">
        <v>149</v>
      </c>
      <c r="M41" s="15" t="s">
        <v>149</v>
      </c>
    </row>
    <row r="42" spans="2:13" ht="15.75" thickBot="1" x14ac:dyDescent="0.3">
      <c r="B42" t="s">
        <v>78</v>
      </c>
      <c r="C42" t="s">
        <v>80</v>
      </c>
      <c r="D42" t="s">
        <v>81</v>
      </c>
      <c r="E42" t="s">
        <v>170</v>
      </c>
      <c r="H42" s="14" t="s">
        <v>150</v>
      </c>
      <c r="I42" s="19" t="s">
        <v>151</v>
      </c>
      <c r="J42" s="15" t="s">
        <v>151</v>
      </c>
      <c r="K42" s="15" t="s">
        <v>151</v>
      </c>
      <c r="L42" s="15" t="s">
        <v>151</v>
      </c>
      <c r="M42" s="15" t="s">
        <v>151</v>
      </c>
    </row>
    <row r="43" spans="2:13" ht="15.75" thickBot="1" x14ac:dyDescent="0.3">
      <c r="B43" t="s">
        <v>169</v>
      </c>
      <c r="C43">
        <v>52.4</v>
      </c>
      <c r="D43">
        <v>40</v>
      </c>
      <c r="E43" s="12">
        <f>SQRT(D43^2+C43^2)</f>
        <v>65.922378597863116</v>
      </c>
      <c r="H43" s="14" t="s">
        <v>152</v>
      </c>
      <c r="I43" s="19" t="s">
        <v>153</v>
      </c>
      <c r="J43" s="15" t="s">
        <v>153</v>
      </c>
      <c r="K43" s="15" t="s">
        <v>153</v>
      </c>
      <c r="L43" s="15" t="s">
        <v>153</v>
      </c>
      <c r="M43" s="15" t="s">
        <v>153</v>
      </c>
    </row>
    <row r="44" spans="2:13" ht="15.75" thickBot="1" x14ac:dyDescent="0.3">
      <c r="B44" s="16" t="s">
        <v>95</v>
      </c>
      <c r="C44" s="16">
        <v>53.8</v>
      </c>
      <c r="D44" s="16">
        <v>40.6</v>
      </c>
      <c r="E44" s="17">
        <f t="shared" ref="E44:E47" si="4">SQRT(D44^2+C44^2)</f>
        <v>67.400296735251843</v>
      </c>
      <c r="H44" s="14" t="s">
        <v>154</v>
      </c>
      <c r="I44" s="19" t="s">
        <v>155</v>
      </c>
      <c r="J44" s="15" t="s">
        <v>155</v>
      </c>
      <c r="K44" s="15" t="s">
        <v>155</v>
      </c>
      <c r="L44" s="15" t="s">
        <v>155</v>
      </c>
      <c r="M44" s="15" t="s">
        <v>155</v>
      </c>
    </row>
    <row r="45" spans="2:13" ht="15.75" thickBot="1" x14ac:dyDescent="0.3">
      <c r="B45" t="s">
        <v>96</v>
      </c>
      <c r="C45">
        <v>55.6</v>
      </c>
      <c r="D45">
        <v>41</v>
      </c>
      <c r="E45" s="12">
        <f t="shared" si="4"/>
        <v>69.082269794788886</v>
      </c>
      <c r="H45" s="14" t="s">
        <v>156</v>
      </c>
      <c r="I45" s="19" t="s">
        <v>157</v>
      </c>
      <c r="J45" s="15" t="s">
        <v>158</v>
      </c>
      <c r="K45" s="15" t="s">
        <v>159</v>
      </c>
      <c r="L45" s="15" t="s">
        <v>160</v>
      </c>
      <c r="M45" s="15" t="s">
        <v>161</v>
      </c>
    </row>
    <row r="46" spans="2:13" ht="15.75" thickBot="1" x14ac:dyDescent="0.3">
      <c r="B46" t="s">
        <v>97</v>
      </c>
      <c r="C46">
        <v>58.5</v>
      </c>
      <c r="D46">
        <v>41.6</v>
      </c>
      <c r="E46" s="12">
        <f t="shared" si="4"/>
        <v>71.783075999848322</v>
      </c>
      <c r="H46" s="14" t="s">
        <v>162</v>
      </c>
      <c r="I46" s="19" t="s">
        <v>163</v>
      </c>
      <c r="J46" s="15" t="s">
        <v>164</v>
      </c>
      <c r="K46" s="15" t="s">
        <v>165</v>
      </c>
      <c r="L46" s="15" t="s">
        <v>166</v>
      </c>
      <c r="M46" s="15" t="s">
        <v>167</v>
      </c>
    </row>
    <row r="47" spans="2:13" x14ac:dyDescent="0.25">
      <c r="B47" t="s">
        <v>98</v>
      </c>
      <c r="C47">
        <v>61.3</v>
      </c>
      <c r="D47">
        <v>42.3</v>
      </c>
      <c r="E47" s="12">
        <f t="shared" si="4"/>
        <v>74.478050457836233</v>
      </c>
    </row>
    <row r="48" spans="2:13" x14ac:dyDescent="0.25">
      <c r="H48" t="s">
        <v>168</v>
      </c>
    </row>
    <row r="49" spans="2:13" x14ac:dyDescent="0.25">
      <c r="B49" t="s">
        <v>171</v>
      </c>
      <c r="G49" s="20"/>
      <c r="I49" t="s">
        <v>173</v>
      </c>
      <c r="J49" s="21" t="s">
        <v>174</v>
      </c>
      <c r="K49" t="s">
        <v>175</v>
      </c>
      <c r="L49" t="s">
        <v>176</v>
      </c>
      <c r="M49" t="s">
        <v>104</v>
      </c>
    </row>
    <row r="50" spans="2:13" x14ac:dyDescent="0.25">
      <c r="B50" t="s">
        <v>78</v>
      </c>
      <c r="C50" t="s">
        <v>80</v>
      </c>
      <c r="D50" t="s">
        <v>81</v>
      </c>
      <c r="E50" t="s">
        <v>170</v>
      </c>
      <c r="G50" s="20" t="s">
        <v>177</v>
      </c>
      <c r="H50" t="s">
        <v>178</v>
      </c>
      <c r="I50" s="20" t="s">
        <v>179</v>
      </c>
      <c r="J50" s="22" t="s">
        <v>180</v>
      </c>
      <c r="K50" s="20" t="s">
        <v>121</v>
      </c>
      <c r="L50" s="20" t="s">
        <v>121</v>
      </c>
      <c r="M50" s="20" t="s">
        <v>121</v>
      </c>
    </row>
    <row r="51" spans="2:13" x14ac:dyDescent="0.25">
      <c r="B51" t="s">
        <v>95</v>
      </c>
      <c r="C51">
        <v>53</v>
      </c>
      <c r="D51">
        <v>38</v>
      </c>
      <c r="E51" s="12">
        <f>SQRT(D51^2+C51^2)</f>
        <v>65.215028942721474</v>
      </c>
      <c r="G51" s="20" t="s">
        <v>181</v>
      </c>
      <c r="H51" t="s">
        <v>189</v>
      </c>
      <c r="I51" s="20">
        <v>550</v>
      </c>
      <c r="J51" s="22">
        <v>565</v>
      </c>
      <c r="K51" s="20">
        <v>580</v>
      </c>
      <c r="L51" s="20">
        <v>595</v>
      </c>
      <c r="M51" s="20">
        <v>610</v>
      </c>
    </row>
    <row r="52" spans="2:13" x14ac:dyDescent="0.25">
      <c r="B52" s="16" t="s">
        <v>96</v>
      </c>
      <c r="C52" s="16">
        <v>55.4</v>
      </c>
      <c r="D52" s="16">
        <v>38.799999999999997</v>
      </c>
      <c r="E52" s="17">
        <f t="shared" ref="E52:E53" si="5">SQRT(D52^2+C52^2)</f>
        <v>67.635789342625401</v>
      </c>
      <c r="G52" s="20" t="s">
        <v>41</v>
      </c>
      <c r="H52" t="s">
        <v>190</v>
      </c>
      <c r="I52" s="20">
        <v>100</v>
      </c>
      <c r="J52" s="22">
        <v>115</v>
      </c>
      <c r="K52" s="20">
        <v>130</v>
      </c>
      <c r="L52" s="20">
        <v>160</v>
      </c>
      <c r="M52" s="20">
        <v>190</v>
      </c>
    </row>
    <row r="53" spans="2:13" x14ac:dyDescent="0.25">
      <c r="B53" t="s">
        <v>172</v>
      </c>
      <c r="C53">
        <v>57.8</v>
      </c>
      <c r="D53">
        <v>39.6</v>
      </c>
      <c r="E53" s="12">
        <f t="shared" si="5"/>
        <v>70.064256222413434</v>
      </c>
      <c r="G53" s="20" t="s">
        <v>182</v>
      </c>
      <c r="H53" t="s">
        <v>183</v>
      </c>
      <c r="I53" s="20" t="s">
        <v>119</v>
      </c>
      <c r="J53" s="22" t="s">
        <v>119</v>
      </c>
      <c r="K53" s="20" t="s">
        <v>184</v>
      </c>
      <c r="L53" s="20" t="s">
        <v>184</v>
      </c>
      <c r="M53" s="20" t="s">
        <v>184</v>
      </c>
    </row>
    <row r="54" spans="2:13" x14ac:dyDescent="0.25">
      <c r="G54" s="20" t="s">
        <v>185</v>
      </c>
      <c r="H54" t="s">
        <v>191</v>
      </c>
      <c r="I54" s="20">
        <v>1069</v>
      </c>
      <c r="J54" s="22">
        <v>1080</v>
      </c>
      <c r="K54" s="20">
        <v>1081</v>
      </c>
      <c r="L54" s="20">
        <v>1097</v>
      </c>
      <c r="M54" s="20">
        <v>1113</v>
      </c>
    </row>
    <row r="55" spans="2:13" x14ac:dyDescent="0.25">
      <c r="G55" s="20" t="s">
        <v>186</v>
      </c>
      <c r="H55" t="s">
        <v>192</v>
      </c>
      <c r="I55" s="20">
        <v>451</v>
      </c>
      <c r="J55" s="22">
        <v>451</v>
      </c>
      <c r="K55" s="20">
        <v>451</v>
      </c>
      <c r="L55" s="20">
        <v>451</v>
      </c>
      <c r="M55" s="20">
        <v>451</v>
      </c>
    </row>
    <row r="56" spans="2:13" x14ac:dyDescent="0.25">
      <c r="G56" s="20" t="s">
        <v>187</v>
      </c>
      <c r="H56" t="s">
        <v>193</v>
      </c>
      <c r="I56" s="20">
        <v>524</v>
      </c>
      <c r="J56" s="22">
        <v>538</v>
      </c>
      <c r="K56" s="20">
        <v>556</v>
      </c>
      <c r="L56" s="20">
        <v>585</v>
      </c>
      <c r="M56" s="20">
        <v>613</v>
      </c>
    </row>
    <row r="57" spans="2:13" x14ac:dyDescent="0.25">
      <c r="G57" s="20" t="s">
        <v>176</v>
      </c>
      <c r="H57" t="s">
        <v>194</v>
      </c>
      <c r="I57" s="20">
        <v>400</v>
      </c>
      <c r="J57" s="22">
        <v>406</v>
      </c>
      <c r="K57" s="20">
        <v>410</v>
      </c>
      <c r="L57" s="20">
        <v>416</v>
      </c>
      <c r="M57" s="20">
        <v>423</v>
      </c>
    </row>
    <row r="58" spans="2:13" x14ac:dyDescent="0.25">
      <c r="G58" s="20" t="s">
        <v>175</v>
      </c>
      <c r="H58" t="s">
        <v>195</v>
      </c>
      <c r="I58" s="20">
        <v>682</v>
      </c>
      <c r="J58" s="22">
        <v>713</v>
      </c>
      <c r="K58" s="20">
        <v>755</v>
      </c>
      <c r="L58" s="20">
        <v>796</v>
      </c>
      <c r="M58" s="20">
        <v>838</v>
      </c>
    </row>
    <row r="59" spans="2:13" x14ac:dyDescent="0.25">
      <c r="G59" s="20" t="s">
        <v>188</v>
      </c>
      <c r="H59" t="s">
        <v>196</v>
      </c>
      <c r="I59" s="20">
        <v>170</v>
      </c>
      <c r="J59" s="22">
        <v>170</v>
      </c>
      <c r="K59" s="20">
        <v>175</v>
      </c>
      <c r="L59" s="20">
        <v>175</v>
      </c>
      <c r="M59" s="20">
        <v>175</v>
      </c>
    </row>
    <row r="61" spans="2:13" x14ac:dyDescent="0.25">
      <c r="I61">
        <f>108/105.3</f>
        <v>1.0256410256410258</v>
      </c>
    </row>
  </sheetData>
  <mergeCells count="6">
    <mergeCell ref="C41:D41"/>
    <mergeCell ref="C3:D3"/>
    <mergeCell ref="I3:J3"/>
    <mergeCell ref="C13:D13"/>
    <mergeCell ref="C23:D23"/>
    <mergeCell ref="C32:D3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bike</vt:lpstr>
      <vt:lpstr>kit</vt:lpstr>
      <vt:lpstr>q 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Rosen</dc:creator>
  <cp:lastModifiedBy>Hannah Rosen</cp:lastModifiedBy>
  <dcterms:created xsi:type="dcterms:W3CDTF">2020-02-10T14:58:41Z</dcterms:created>
  <dcterms:modified xsi:type="dcterms:W3CDTF">2020-02-12T19:51:41Z</dcterms:modified>
</cp:coreProperties>
</file>