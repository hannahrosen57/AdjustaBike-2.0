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png" ContentType="image/p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28705"/>
  <workbookPr autoCompressPictures="0"/>
  <bookViews>
    <workbookView xWindow="0" yWindow="0" windowWidth="25600" windowHeight="15540" firstSheet="2" activeTab="3"/>
  </bookViews>
  <sheets>
    <sheet name="bike spec" sheetId="1" r:id="rId1"/>
    <sheet name="test methods" sheetId="4" r:id="rId2"/>
    <sheet name="market breakdown" sheetId="9" r:id="rId3"/>
    <sheet name="geometry study" sheetId="3" r:id="rId4"/>
    <sheet name="component study" sheetId="7" r:id="rId5"/>
    <sheet name="avtech" sheetId="10" r:id="rId6"/>
    <sheet name="avtech eval" sheetId="8" r:id="rId7"/>
    <sheet name="kit spec" sheetId="2" state="hidden" r:id="rId8"/>
  </sheets>
  <definedNames>
    <definedName name="_xlnm._FilterDatabase" localSheetId="0" hidden="1">'bike spec'!$B$2:$F$101</definedName>
    <definedName name="_xlnm._FilterDatabase" localSheetId="7" hidden="1">'kit spec'!$A$2:$E$28</definedName>
    <definedName name="_xlnm.Print_Area" localSheetId="0">'bike spec'!$B$1:$L$128</definedName>
  </definedNames>
  <calcPr calcId="140001" concurrentCalc="0"/>
  <extLst>
    <ext xmlns:mx="http://schemas.microsoft.com/office/mac/excel/2008/main" uri="{7523E5D3-25F3-A5E0-1632-64F254C22452}">
      <mx:ArchID Flags="2"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5" i="3" l="1"/>
  <c r="J35" i="3"/>
  <c r="K35" i="3"/>
  <c r="L35" i="3"/>
  <c r="M35" i="3"/>
  <c r="J4" i="3"/>
  <c r="K4" i="3"/>
  <c r="L4" i="3"/>
  <c r="M4" i="3"/>
  <c r="N4" i="3"/>
  <c r="O4" i="3"/>
  <c r="P4" i="3"/>
  <c r="R4" i="3"/>
  <c r="J3" i="3"/>
  <c r="K3" i="3"/>
  <c r="L3" i="3"/>
  <c r="M3" i="3"/>
  <c r="N3" i="3"/>
  <c r="O3" i="3"/>
  <c r="P3" i="3"/>
  <c r="R3" i="3"/>
  <c r="R5" i="3"/>
  <c r="P5" i="3"/>
  <c r="O5" i="3"/>
  <c r="N5" i="3"/>
  <c r="M5" i="3"/>
  <c r="L5" i="3"/>
  <c r="K5" i="3"/>
  <c r="J5" i="3"/>
  <c r="R13" i="3"/>
  <c r="R12" i="3"/>
  <c r="P13" i="3"/>
  <c r="P12" i="3"/>
  <c r="O13" i="3"/>
  <c r="O12" i="3"/>
  <c r="N13" i="3"/>
  <c r="N12" i="3"/>
  <c r="M13" i="3"/>
  <c r="M12" i="3"/>
  <c r="L13" i="3"/>
  <c r="L12" i="3"/>
  <c r="K13" i="3"/>
  <c r="K12" i="3"/>
  <c r="J13" i="3"/>
  <c r="J12" i="3"/>
  <c r="R9" i="3"/>
  <c r="R8" i="3"/>
  <c r="P9" i="3"/>
  <c r="P8" i="3"/>
  <c r="O9" i="3"/>
  <c r="O8" i="3"/>
  <c r="N9" i="3"/>
  <c r="N8" i="3"/>
  <c r="M9" i="3"/>
  <c r="M8" i="3"/>
  <c r="L9" i="3"/>
  <c r="L8" i="3"/>
  <c r="K8" i="3"/>
  <c r="K9" i="3"/>
  <c r="J8" i="3"/>
  <c r="J9" i="3"/>
  <c r="E48" i="3"/>
  <c r="E49" i="3"/>
  <c r="E47" i="3"/>
  <c r="E43" i="3"/>
  <c r="E42" i="3"/>
  <c r="E41" i="3"/>
  <c r="E40" i="3"/>
  <c r="E39" i="3"/>
  <c r="E35" i="3"/>
  <c r="E34" i="3"/>
  <c r="E33" i="3"/>
  <c r="E32" i="3"/>
  <c r="E31" i="3"/>
  <c r="E24" i="3"/>
  <c r="E25" i="3"/>
  <c r="E26" i="3"/>
  <c r="E27" i="3"/>
  <c r="E23" i="3"/>
  <c r="E15" i="3"/>
  <c r="E16" i="3"/>
  <c r="E17" i="3"/>
  <c r="E18" i="3"/>
  <c r="E19" i="3"/>
  <c r="E14" i="3"/>
  <c r="G6" i="3"/>
  <c r="G7" i="3"/>
  <c r="G8" i="3"/>
  <c r="G9" i="3"/>
  <c r="G10" i="3"/>
  <c r="G5" i="3"/>
</calcChain>
</file>

<file path=xl/sharedStrings.xml><?xml version="1.0" encoding="utf-8"?>
<sst xmlns="http://schemas.openxmlformats.org/spreadsheetml/2006/main" count="1014" uniqueCount="469">
  <si>
    <t>D/W</t>
  </si>
  <si>
    <t>weight</t>
  </si>
  <si>
    <t>category</t>
  </si>
  <si>
    <t>requirement</t>
  </si>
  <si>
    <t>wheels</t>
  </si>
  <si>
    <t>seat</t>
  </si>
  <si>
    <t>steering</t>
  </si>
  <si>
    <t>braking</t>
  </si>
  <si>
    <t>safety</t>
  </si>
  <si>
    <t>All materials weather resistant</t>
  </si>
  <si>
    <t>SPECIFICATION for DIY Bicycle</t>
  </si>
  <si>
    <t>assembly</t>
  </si>
  <si>
    <t>Maximum assembly time: *</t>
  </si>
  <si>
    <t>No tooling required</t>
  </si>
  <si>
    <t>W</t>
  </si>
  <si>
    <t>Only simple tooling required</t>
  </si>
  <si>
    <t>D</t>
  </si>
  <si>
    <t>Can assemble with one person without a jig</t>
  </si>
  <si>
    <t>Can assemble with two people without a jig</t>
  </si>
  <si>
    <t xml:space="preserve">Non-destructive assembly </t>
  </si>
  <si>
    <t>-</t>
  </si>
  <si>
    <t>links</t>
  </si>
  <si>
    <t>joints</t>
  </si>
  <si>
    <t>manufacture</t>
  </si>
  <si>
    <t>Max weight/metre of *</t>
  </si>
  <si>
    <t>The following lengths should be possible: * * *</t>
  </si>
  <si>
    <t>Maximum cost of *</t>
  </si>
  <si>
    <t>Minimise cost</t>
  </si>
  <si>
    <t>The following angles should be possible: * * *</t>
  </si>
  <si>
    <t xml:space="preserve">Assemble securely </t>
  </si>
  <si>
    <t>Possible to manufacture safely with only the tools available to a layman</t>
  </si>
  <si>
    <t>Possible to manufacture with one person (can use vices to secure work)</t>
  </si>
  <si>
    <t>Maximum manufacture time for basic kit: *</t>
  </si>
  <si>
    <t>All components commercially available to a layman</t>
  </si>
  <si>
    <t>Consistent/repeatable from documentation</t>
  </si>
  <si>
    <t>other systems</t>
  </si>
  <si>
    <t>Components for other systems (ie wheels, brakes, pedals, drive, steering, seat) selected to satisfy bike requirements</t>
  </si>
  <si>
    <t>Attachment for other systems (ie wheels, brakes, pedals, drive, steering, seat) designed to satisfy bike requirements</t>
  </si>
  <si>
    <t>All parts compatible</t>
  </si>
  <si>
    <t>Minimum load of * in tension/compression and * bending</t>
  </si>
  <si>
    <t>Minimum 'gripping' force of * and resistance to torque of *</t>
  </si>
  <si>
    <t>Possibility of a different length without cutting link</t>
  </si>
  <si>
    <t>Possibility of a different angle without using a different joint</t>
  </si>
  <si>
    <t>"Standard" bike geometry and at least one other geometry possible</t>
  </si>
  <si>
    <t>#</t>
  </si>
  <si>
    <t>size</t>
  </si>
  <si>
    <t>rider height</t>
  </si>
  <si>
    <t>stack</t>
  </si>
  <si>
    <t>reach</t>
  </si>
  <si>
    <t>min</t>
  </si>
  <si>
    <t>max</t>
  </si>
  <si>
    <t>M sm</t>
  </si>
  <si>
    <t>M md</t>
  </si>
  <si>
    <t>M lg</t>
  </si>
  <si>
    <t>W sm</t>
  </si>
  <si>
    <t>W md</t>
  </si>
  <si>
    <t>W lg</t>
  </si>
  <si>
    <t>from hybrid bike boardman mtx 8.8 (cm)</t>
  </si>
  <si>
    <t>from hybrid bike cannondale adventure 2</t>
  </si>
  <si>
    <t>M xl</t>
  </si>
  <si>
    <t>W tl</t>
  </si>
  <si>
    <t>from hybrid bike canondale quick cx 4</t>
  </si>
  <si>
    <t>sm</t>
  </si>
  <si>
    <t>md</t>
  </si>
  <si>
    <t>lg</t>
  </si>
  <si>
    <t>xlg</t>
  </si>
  <si>
    <t>2xl</t>
  </si>
  <si>
    <t>SM</t>
  </si>
  <si>
    <t>MD</t>
  </si>
  <si>
    <t>LG</t>
  </si>
  <si>
    <t>XL</t>
  </si>
  <si>
    <t>2XL</t>
  </si>
  <si>
    <r>
      <t>A </t>
    </r>
    <r>
      <rPr>
        <sz val="11"/>
        <color rgb="FF222222"/>
        <rFont val="Arial"/>
        <family val="2"/>
      </rPr>
      <t>Seat Tube Length</t>
    </r>
  </si>
  <si>
    <r>
      <t>B </t>
    </r>
    <r>
      <rPr>
        <sz val="11"/>
        <color rgb="FF222222"/>
        <rFont val="Arial"/>
        <family val="2"/>
      </rPr>
      <t>Top Tube Length</t>
    </r>
  </si>
  <si>
    <r>
      <t>D </t>
    </r>
    <r>
      <rPr>
        <sz val="11"/>
        <color rgb="FF222222"/>
        <rFont val="Arial"/>
        <family val="2"/>
      </rPr>
      <t>Head Tube Angle</t>
    </r>
  </si>
  <si>
    <t>70.0°</t>
  </si>
  <si>
    <r>
      <t>E</t>
    </r>
    <r>
      <rPr>
        <sz val="7"/>
        <color rgb="FF222222"/>
        <rFont val="Courier New"/>
        <family val="3"/>
      </rPr>
      <t>1</t>
    </r>
    <r>
      <rPr>
        <sz val="11"/>
        <color rgb="FF222222"/>
        <rFont val="Courier New"/>
        <family val="3"/>
      </rPr>
      <t> </t>
    </r>
    <r>
      <rPr>
        <sz val="11"/>
        <color rgb="FF222222"/>
        <rFont val="Arial"/>
        <family val="2"/>
      </rPr>
      <t>Seat Tube Angle Effective</t>
    </r>
  </si>
  <si>
    <t>73.0°</t>
  </si>
  <si>
    <r>
      <t>F </t>
    </r>
    <r>
      <rPr>
        <sz val="11"/>
        <color rgb="FF222222"/>
        <rFont val="Arial"/>
        <family val="2"/>
      </rPr>
      <t>Standover</t>
    </r>
  </si>
  <si>
    <r>
      <t>G </t>
    </r>
    <r>
      <rPr>
        <sz val="11"/>
        <color rgb="FF222222"/>
        <rFont val="Arial"/>
        <family val="2"/>
      </rPr>
      <t>Head Tube Length</t>
    </r>
  </si>
  <si>
    <r>
      <t>H </t>
    </r>
    <r>
      <rPr>
        <sz val="11"/>
        <color rgb="FF222222"/>
        <rFont val="Arial"/>
        <family val="2"/>
      </rPr>
      <t>Wheelbase</t>
    </r>
  </si>
  <si>
    <r>
      <t>I </t>
    </r>
    <r>
      <rPr>
        <sz val="11"/>
        <color rgb="FF222222"/>
        <rFont val="Arial"/>
        <family val="2"/>
      </rPr>
      <t>Front Center</t>
    </r>
  </si>
  <si>
    <r>
      <t>J </t>
    </r>
    <r>
      <rPr>
        <sz val="11"/>
        <color rgb="FF222222"/>
        <rFont val="Arial"/>
        <family val="2"/>
      </rPr>
      <t>Chain Stay Length</t>
    </r>
  </si>
  <si>
    <r>
      <t>K </t>
    </r>
    <r>
      <rPr>
        <sz val="11"/>
        <color rgb="FF222222"/>
        <rFont val="Arial"/>
        <family val="2"/>
      </rPr>
      <t>Bottom Bracket Drop</t>
    </r>
  </si>
  <si>
    <r>
      <t>L </t>
    </r>
    <r>
      <rPr>
        <sz val="11"/>
        <color rgb="FF222222"/>
        <rFont val="Arial"/>
        <family val="2"/>
      </rPr>
      <t>Estimated BB Height</t>
    </r>
  </si>
  <si>
    <r>
      <t>M </t>
    </r>
    <r>
      <rPr>
        <sz val="11"/>
        <color rgb="FF222222"/>
        <rFont val="Arial"/>
        <family val="2"/>
      </rPr>
      <t>Fork Rake</t>
    </r>
  </si>
  <si>
    <r>
      <t>N </t>
    </r>
    <r>
      <rPr>
        <sz val="11"/>
        <color rgb="FF222222"/>
        <rFont val="Arial"/>
        <family val="2"/>
      </rPr>
      <t>Trail</t>
    </r>
  </si>
  <si>
    <r>
      <t>O </t>
    </r>
    <r>
      <rPr>
        <sz val="11"/>
        <color rgb="FF222222"/>
        <rFont val="Arial"/>
        <family val="2"/>
      </rPr>
      <t>Stack</t>
    </r>
  </si>
  <si>
    <r>
      <t>P </t>
    </r>
    <r>
      <rPr>
        <sz val="11"/>
        <color rgb="FF222222"/>
        <rFont val="Arial"/>
        <family val="2"/>
      </rPr>
      <t>Reach</t>
    </r>
  </si>
  <si>
    <t>xsm</t>
  </si>
  <si>
    <t>hyp</t>
  </si>
  <si>
    <t>from cannondale quick women's 8</t>
  </si>
  <si>
    <t>tl</t>
  </si>
  <si>
    <t>XS</t>
  </si>
  <si>
    <t>S</t>
  </si>
  <si>
    <t>M</t>
  </si>
  <si>
    <t>L</t>
  </si>
  <si>
    <t>B</t>
  </si>
  <si>
    <t>SEAT TUBE ANGLE</t>
  </si>
  <si>
    <t>74.0°</t>
  </si>
  <si>
    <t>73.5°</t>
  </si>
  <si>
    <t>C</t>
  </si>
  <si>
    <t>E</t>
  </si>
  <si>
    <t>HEAD TUBE ANGLE</t>
  </si>
  <si>
    <t>71.0°</t>
  </si>
  <si>
    <t>H</t>
  </si>
  <si>
    <t>I</t>
  </si>
  <si>
    <t>K</t>
  </si>
  <si>
    <t>P</t>
  </si>
  <si>
    <t>TOP TUBE LENGTH (mm)</t>
  </si>
  <si>
    <t>HEAD TUBE LENGTH (mm)</t>
  </si>
  <si>
    <t>WHEELBASE (mm)</t>
  </si>
  <si>
    <t>CHAIN STAY LENGTH (mm)</t>
  </si>
  <si>
    <t>STACK (mm)</t>
  </si>
  <si>
    <t>REACH (mm)</t>
  </si>
  <si>
    <t>STAND OVER HEIGHT (mm)</t>
  </si>
  <si>
    <t>CRANK LENGTH (mm)</t>
  </si>
  <si>
    <t>A</t>
  </si>
  <si>
    <t>67.0°</t>
  </si>
  <si>
    <t>F</t>
  </si>
  <si>
    <t>G</t>
  </si>
  <si>
    <t>J</t>
  </si>
  <si>
    <t>N</t>
  </si>
  <si>
    <t>O</t>
  </si>
  <si>
    <t>Q</t>
  </si>
  <si>
    <t>WHEEL SIZE</t>
  </si>
  <si>
    <t>27.5"</t>
  </si>
  <si>
    <t>SEAT TUBE LENGTH (mm)</t>
  </si>
  <si>
    <t>FORK RAKE (mm)</t>
  </si>
  <si>
    <t>TRAIL (mm)</t>
  </si>
  <si>
    <t>BOTTOM BRACKET DROP (mm)</t>
  </si>
  <si>
    <t>HANDLEBAR WIDTH (mm)</t>
  </si>
  <si>
    <t>STEM LENGTH (mm)</t>
  </si>
  <si>
    <t>from mtb giant fathom 1 2020</t>
  </si>
  <si>
    <t>ML</t>
  </si>
  <si>
    <t>74.8°</t>
  </si>
  <si>
    <t>72.5°</t>
  </si>
  <si>
    <t>71.8°</t>
  </si>
  <si>
    <t>700C</t>
  </si>
  <si>
    <t>from road bike giant contend 1 2020</t>
  </si>
  <si>
    <t>hybrid</t>
  </si>
  <si>
    <t>wheelbase</t>
  </si>
  <si>
    <t>trail</t>
  </si>
  <si>
    <t>rake</t>
  </si>
  <si>
    <t>bb drop</t>
  </si>
  <si>
    <t>standover</t>
  </si>
  <si>
    <t>crank</t>
  </si>
  <si>
    <t>general</t>
  </si>
  <si>
    <t>from hybrid bike canondale quick 4*</t>
  </si>
  <si>
    <t>from giant escape 3**</t>
  </si>
  <si>
    <t>from hybrid giant escape 3**</t>
  </si>
  <si>
    <t>size small</t>
  </si>
  <si>
    <t>mtb</t>
  </si>
  <si>
    <t>road</t>
  </si>
  <si>
    <t>crank length</t>
  </si>
  <si>
    <t>justification</t>
  </si>
  <si>
    <t>Must be able to steer using handlebars</t>
  </si>
  <si>
    <t>Must operate on two wheels</t>
  </si>
  <si>
    <t>frame</t>
  </si>
  <si>
    <t>drivetrain</t>
  </si>
  <si>
    <t>Assembly process must be non-destructive</t>
  </si>
  <si>
    <t>Should be able to adjust frame to suit riders between 1400mm to 2000mm in height</t>
  </si>
  <si>
    <t>Must be possible to manufacture components safely with only the tools available to a layman</t>
  </si>
  <si>
    <t>Sourcing materials and manufacturing methods must be consistent/repeatable from documentation</t>
  </si>
  <si>
    <t>Seat must be securely attached</t>
  </si>
  <si>
    <t>There must be no sharp protruding edges</t>
  </si>
  <si>
    <t>Any hand-operated brakes must be arranged left-hand rear, right-hand front</t>
  </si>
  <si>
    <t>PBSR, RVLR</t>
  </si>
  <si>
    <t>Hub bearings must have an effective coefficient of friction of less than 0.01</t>
  </si>
  <si>
    <t>Major maintainance (ie. servicing bearings) must be required twice a year or less by a typical user</t>
  </si>
  <si>
    <t>Minior maintainance (ie. cleaning drivetrain) must be required one a week or less for a typical user</t>
  </si>
  <si>
    <t>All components must be compatible to allow for flexibility in alternative geometries</t>
  </si>
  <si>
    <t>All components must be securely fastened together such that they cannot be accidentally unfastened during normal use</t>
  </si>
  <si>
    <t>The frame must last at least 5 years for a typical user</t>
  </si>
  <si>
    <t>Must be capable of travelling at 25km/h on flat, smooth, dry tarmac</t>
  </si>
  <si>
    <t>geometry study</t>
  </si>
  <si>
    <t>Standover height must be less than 860mm and suitable for the inseam of the intended rider (ie. about 700mm for a small frame)</t>
  </si>
  <si>
    <t>Should be able to mount standard mudguards and luggage racks to frame</t>
  </si>
  <si>
    <t>Bike must function between -5 deg C and 40 deg C</t>
  </si>
  <si>
    <t>Should be capable of travelling at 10km/h on flat gravel paths</t>
  </si>
  <si>
    <t>Should be able to adjust seat height with a range of at least 200mm</t>
  </si>
  <si>
    <t xml:space="preserve">Seat height should be between 850mm and 1050mm </t>
  </si>
  <si>
    <t>Should be able to adjust horizontal position of saddle with a range of at least 30mm</t>
  </si>
  <si>
    <t>Should be able to adjust angle of saddle with a range of at least 5 deg</t>
  </si>
  <si>
    <t>Maximum seat height must be at least 635mm</t>
  </si>
  <si>
    <t>ISO 4210</t>
  </si>
  <si>
    <t>UKSI 19831176, ISO 4210</t>
  </si>
  <si>
    <t>PBSR, ISO 4210</t>
  </si>
  <si>
    <t>No component of braking system must fail during above track tests</t>
  </si>
  <si>
    <t>In the above track tests, stopping must be smooth and safe, without excessive skidding, and the rider must not lose control or put a foot on the ground</t>
  </si>
  <si>
    <t>Braking mechanisms must be adjustable to ensure they are effective even with some wear or with different wheels etc.</t>
  </si>
  <si>
    <t>Wet:Dry performace ratio as calculated in ISO 4210 must be at least 0.4</t>
  </si>
  <si>
    <t>Max. stopping distance of 7m  from 25 m/s dry or 5m from 16 km/h wet using both brakes</t>
  </si>
  <si>
    <t>Max. stopping distance of 15m  from 25 m/s dry or 10m from 16 km/h wet using rear brake only</t>
  </si>
  <si>
    <t>Handlebar width must be between 350mm and 1000mm</t>
  </si>
  <si>
    <t>Max. vertical distance between top of handlebars and top of saddle must not be more than 400mm</t>
  </si>
  <si>
    <t>anthropometric data</t>
  </si>
  <si>
    <t>Handlebar grips should be round with a diameter of 22.2mm</t>
  </si>
  <si>
    <t>standard for flat bars</t>
  </si>
  <si>
    <t>Handlebar grip nominal diameter must be between 12mm and 52mm</t>
  </si>
  <si>
    <t>Head tube angle should be between 65 deg and 75 deg</t>
  </si>
  <si>
    <t xml:space="preserve">Must be suitable for a rider 1680mm tall in a comfortable and safe riding position </t>
  </si>
  <si>
    <t>based on my inseam</t>
  </si>
  <si>
    <t>me, as I'll be testing it</t>
  </si>
  <si>
    <t>The steering axis should intersect a line perpendicular to the ground line, drawn through the wheel centre, at a point not lower than 15 % and not higher than 60 % of the wheel radius when measured from the ground line.</t>
  </si>
  <si>
    <t>Wheel rim diameter must be between 250mm and 1500mm</t>
  </si>
  <si>
    <t>component study</t>
  </si>
  <si>
    <t>There must be at least 6mm of clearance between the tyre and the frame/fork/mudguard/any attachment bolts</t>
  </si>
  <si>
    <t>Frame and fork must withstand the falling striker impact test outlined in ISO4210-6 4.1 with no cracks, fractures or separation of components and with permenant deformation of not more than 30mm (can use computational test if necessary)</t>
  </si>
  <si>
    <t>Frame and fork must withstand the falling frame impact test outlined in ISO4210-6 4.2 with no  cracks, fractures or separation of components and with permenant deformation of not more than 60mm (can use computational test if necessary)</t>
  </si>
  <si>
    <t>Frame fatigue strength after 100,000 cycles must be at least 83.3% tensile strength</t>
  </si>
  <si>
    <t>ISO 4210-2 4.8.4,5,6</t>
  </si>
  <si>
    <t>Fork must withstand 1000N as a cantilever for 1 min (acting to bend rearward) with permenant deformation of not more than 10mm</t>
  </si>
  <si>
    <t>arbitrary target</t>
  </si>
  <si>
    <t>The range of motion of the handlebars must be at least +/- 60 deg from straight ahead, with no tight spots, stiffness, slackness, or wobble</t>
  </si>
  <si>
    <t>Bike must pass a road test of at least 1km fully loaded, demonstrating stable handling in braking and steering, and no component failure, loosening, or misalignment. It must be possible to safely ride with 1 hand (as when giving turn signals).</t>
  </si>
  <si>
    <t>ISO 4210-2 4.19</t>
  </si>
  <si>
    <t>ISO 4210-3 Annex A</t>
  </si>
  <si>
    <t>A safety factor of 2.5 should be used during design calculations</t>
  </si>
  <si>
    <t>safety factor guidelines</t>
  </si>
  <si>
    <t>ISO 4210-2</t>
  </si>
  <si>
    <t>Must have ground clearance of at least 150mm with pedals level</t>
  </si>
  <si>
    <t>curb height</t>
  </si>
  <si>
    <t>Wheels must be centrally aligned in fork and frame</t>
  </si>
  <si>
    <t>Fork must withstand 5000N in tension for 1 min with no detachment or loosening of any  components</t>
  </si>
  <si>
    <t>Pedal/crank/bottom bracket assembly should rotate smoothly with no tight spots, stiffness, slackness, wobble, or binding</t>
  </si>
  <si>
    <t>Assembled drive system must be able to withstand a perpendicular force of 1500N exerted on the pedal with the driven wheel clamped for 1 min with no cracking or deformation of components</t>
  </si>
  <si>
    <t>If relevant, belt tensile strength must be at least 4000N or chain tensile strength must be at least 8000N</t>
  </si>
  <si>
    <t>Should have either a chain/belt cover or a disc with diameter at least 10mm larger than pulley/sprocket protecting drivetrain</t>
  </si>
  <si>
    <t>Must be able to attach front(white) and rear(red) lights and reflectors, and a bell</t>
  </si>
  <si>
    <t>All fastenings must be able to withstand the estimated shear and tensile loads they will be subjected to with a safety factor of 8.5</t>
  </si>
  <si>
    <t>RVLR, ISO 4210</t>
  </si>
  <si>
    <t>Pedals should have yellow front and rear reflectors</t>
  </si>
  <si>
    <t>Fork must withstand the falling striker impact test outlined in ISO4210-6 5.4 with no  cracks, fractures, or separation of components, and with permenant deformation of not more than 45mm (can use computational test if necessary)</t>
  </si>
  <si>
    <t>SPECIFICATION for DIY Bicycle Kit</t>
  </si>
  <si>
    <t>T</t>
  </si>
  <si>
    <t>product line</t>
  </si>
  <si>
    <t>tensile force (N)</t>
  </si>
  <si>
    <t>bending torque (Nm)</t>
  </si>
  <si>
    <t>link</t>
  </si>
  <si>
    <t>joint</t>
  </si>
  <si>
    <t>link (/m)</t>
  </si>
  <si>
    <t>approx total link length</t>
  </si>
  <si>
    <t>/cut</t>
  </si>
  <si>
    <t>shipping</t>
  </si>
  <si>
    <t>/joint</t>
  </si>
  <si>
    <t>approx weight (kg)</t>
  </si>
  <si>
    <t>approx costs (£)</t>
  </si>
  <si>
    <t>angles available</t>
  </si>
  <si>
    <t>adjustable angle?</t>
  </si>
  <si>
    <t>adjustable length?</t>
  </si>
  <si>
    <t>diameters available</t>
  </si>
  <si>
    <t>inline 3-way joints?</t>
  </si>
  <si>
    <t>flexibility</t>
  </si>
  <si>
    <t>total (4m, 6 joints)</t>
  </si>
  <si>
    <t>total (4m, 6j, 8c, s)</t>
  </si>
  <si>
    <t>min.</t>
  </si>
  <si>
    <t>score/rank</t>
  </si>
  <si>
    <t>ID</t>
  </si>
  <si>
    <t>notes</t>
  </si>
  <si>
    <t>Max. width between rider's knees of 250mm</t>
  </si>
  <si>
    <t>Tyre width must be between 18mm and 130mm</t>
  </si>
  <si>
    <t>There must be at least two independently actuated brakes</t>
  </si>
  <si>
    <t>When secured with wheel retention device, wheels must resist 2300N for 1 min with no relative motion between axle and fork/frame</t>
  </si>
  <si>
    <t>At least one brake must act on each wheel</t>
  </si>
  <si>
    <t>Bike must be propelled by pedalling</t>
  </si>
  <si>
    <t>Transmission must have a nominal efficiency of at least 90%</t>
  </si>
  <si>
    <t>Bike must have a seat for the rider to sit on</t>
  </si>
  <si>
    <t>Should aim for a target price of £200 or less</t>
  </si>
  <si>
    <t>Must have maximum total weight of 30kg</t>
  </si>
  <si>
    <t>Should aim for target total weight of 15kg or less</t>
  </si>
  <si>
    <t>weight study</t>
  </si>
  <si>
    <t>comparison to competitors</t>
  </si>
  <si>
    <t xml:space="preserve">When sitting on the saddle with hips, knees, and ankles extended downward, the rider's toes should not be more than 200mm above the ground </t>
  </si>
  <si>
    <t>feet 'shoulder width apart'</t>
  </si>
  <si>
    <t>UK height percentile chart</t>
  </si>
  <si>
    <t>Must be suitable for a rider up to 150kg</t>
  </si>
  <si>
    <t xml:space="preserve">weight percentile &amp; BMI chart </t>
  </si>
  <si>
    <t>average cycle ride distance</t>
  </si>
  <si>
    <t>Must be comfortable and safe to ride for 5.5km on public roads</t>
  </si>
  <si>
    <t>definition of a bicycle</t>
  </si>
  <si>
    <t>All materials should be weather resistant (including rain, frost, and UV)</t>
  </si>
  <si>
    <t>usage environment</t>
  </si>
  <si>
    <t>cost study</t>
  </si>
  <si>
    <t>cost study, FYP budget</t>
  </si>
  <si>
    <t>All materials must be commercially available to a layman</t>
  </si>
  <si>
    <t>design brief - accessible</t>
  </si>
  <si>
    <t>design brief - open source</t>
  </si>
  <si>
    <t>design brief - flexible</t>
  </si>
  <si>
    <t>Should be able to adjust position of handlebars to suit rider</t>
  </si>
  <si>
    <t>Handlebars and stem must withstand 600N exerted 50mm from the end of the handlebar grip parallell to fork steerer, for 1 min, with no cracking or fracture and permenant deformation of less than 15mm</t>
  </si>
  <si>
    <t>Wheels must rotate around axles with an axial and radial runout tolerance of  1mm if using rim brakes and 2mm if not</t>
  </si>
  <si>
    <t>Crank length should be between 165mm and 175mm</t>
  </si>
  <si>
    <t>Bike should be able to lean sideways by at least 25 deg without pedal touching the ground (in any crank position)</t>
  </si>
  <si>
    <t>Pedals should have 100mm clearance with steered arc of front tyre</t>
  </si>
  <si>
    <t>Bike must withstand structural integrity test outlined in ISO 4210-3 Annex A with no component failure, loosening, or misalignment</t>
  </si>
  <si>
    <t>Except for screw threads which protrude by 1 major diameter or less, any protrusions must be protected, especially where they could be impacted during a fall</t>
  </si>
  <si>
    <t>All safety critical screw threads must have locking devices (such as lock nuts or loctite) in order to resist vibration</t>
  </si>
  <si>
    <t>Should be possible to manufacture components safely in 20 hours or less and with only one person (can use vices to secure work)</t>
  </si>
  <si>
    <t>design brief - accessible; weekend project manhours</t>
  </si>
  <si>
    <t>Should be able to assemble with only simple hand tools and without a jig</t>
  </si>
  <si>
    <t>Should be able to assemble in 3 hours or less with only one person</t>
  </si>
  <si>
    <t>Must be able to assemble in 3 hours or less with two people</t>
  </si>
  <si>
    <t>want to avoid tallbikes or penny farthings</t>
  </si>
  <si>
    <t>miscellaneous</t>
  </si>
  <si>
    <t xml:space="preserve">Stack must be between 540mm and 590mm </t>
  </si>
  <si>
    <t>Should be able to adjust stack between 520mm and 650mm</t>
  </si>
  <si>
    <t xml:space="preserve">Reach must be between 375mm and 410mm </t>
  </si>
  <si>
    <t>Should be able to adjust reach between 340mm and 460mm</t>
  </si>
  <si>
    <t xml:space="preserve">Wheelbase must be between 985mm and 1110mm </t>
  </si>
  <si>
    <t>Should be able to adjust wheelbase between 985mm and 1175mm</t>
  </si>
  <si>
    <t>Bottom bracket drop should be between 45mm and 75mm</t>
  </si>
  <si>
    <t>Fork rake should be between 40mm and 55mm</t>
  </si>
  <si>
    <t>Trail should be between 55mm and 110mm</t>
  </si>
  <si>
    <t>Must be able to source all components and raw materials for £1,200 or less</t>
  </si>
  <si>
    <t>Bike should be aesthetically pleasing</t>
  </si>
  <si>
    <t xml:space="preserve">Dissassembled, the bike should fit into a hard shell travel case with internal dimensions of 625 x 610 x 240 mm (preferably without detaching cables) </t>
  </si>
  <si>
    <t>ISO4210-6 4.1</t>
  </si>
  <si>
    <t>ref.</t>
  </si>
  <si>
    <t>requirements</t>
  </si>
  <si>
    <t>type</t>
  </si>
  <si>
    <t>components</t>
  </si>
  <si>
    <t>falling striker</t>
  </si>
  <si>
    <t>frame and fork</t>
  </si>
  <si>
    <t>method</t>
  </si>
  <si>
    <t>mass (kg)</t>
  </si>
  <si>
    <t>height (mm)</t>
  </si>
  <si>
    <t>ISO4210-6 4.2</t>
  </si>
  <si>
    <t>falling frame</t>
  </si>
  <si>
    <t>SP:50, ST:10, BB:30</t>
  </si>
  <si>
    <t>req. ref.</t>
  </si>
  <si>
    <t>ISO4210-2 4.8.2</t>
  </si>
  <si>
    <t>ISO4210-2 4.8.3</t>
  </si>
  <si>
    <t>ISO4210-2 4.9.5</t>
  </si>
  <si>
    <t>ISO4210-6 5.4</t>
  </si>
  <si>
    <t>fork only</t>
  </si>
  <si>
    <t>note - permenant deformation is the difference between the length under static load before and after impact</t>
  </si>
  <si>
    <t>note - for falling striker drop tests, striker must reach at least 95% of its falling velocity (neglecting air resistance)</t>
  </si>
  <si>
    <t>clamped vertically (axles in line) by rear axle; striker falls on 1kg roller in fork axle or dummy fork</t>
  </si>
  <si>
    <t>supported horizontally; clamped but free to rotate at rear axle and resting on roller at front axle; weights attached to seat post, steering head, and bottom bracket; front axle lifted and dropped twice</t>
  </si>
  <si>
    <t>wheelbase permenant deformation not more than 30mm if using fork or 10 mm if using dummy fork; no cracks, fractures, or separation</t>
  </si>
  <si>
    <t>wheelbase permenant deformation not more than 60mm; no cracks, fractures, or separation</t>
  </si>
  <si>
    <t>supported by head bearings as a horizontal cantilever; striker dropped onto roller in rearward direction</t>
  </si>
  <si>
    <t>permemant deformation of axle displacement relative to fork steerer axis not more than 45mm no cracks, fractures, or separation</t>
  </si>
  <si>
    <t>no fractures</t>
  </si>
  <si>
    <t>(test 3)</t>
  </si>
  <si>
    <t>torque of 50Nm applied about fork steerer</t>
  </si>
  <si>
    <t>n/a</t>
  </si>
  <si>
    <t>no relative motion between steerer and crown</t>
  </si>
  <si>
    <t>same falling striker setup</t>
  </si>
  <si>
    <t>falling striker (test 1) --&gt;</t>
  </si>
  <si>
    <t>(test 2) --&gt;</t>
  </si>
  <si>
    <t>ISO4210-3 Annex A</t>
  </si>
  <si>
    <t>structural integrity</t>
  </si>
  <si>
    <t>whole assembled bicycle</t>
  </si>
  <si>
    <t>attach weights to seat post, each crank, and each side of the handlebar; drive on machine at 8 km/h for 6h</t>
  </si>
  <si>
    <t>SP:36, CR:[2x]18, HB:[2x]6.75</t>
  </si>
  <si>
    <t>no system or component failure; no misalignment or loosening</t>
  </si>
  <si>
    <t>SUMMARY OF TEST METHODS FROM ISO4210 REFERENCED IN SPECIFICATION</t>
  </si>
  <si>
    <t>company/shop/site</t>
  </si>
  <si>
    <t>product</t>
  </si>
  <si>
    <t>description</t>
  </si>
  <si>
    <t>link(s)</t>
  </si>
  <si>
    <t>the tube &amp; bracket company</t>
  </si>
  <si>
    <t>graphit</t>
  </si>
  <si>
    <t>modular storage; tubes and brackets; different ranges available</t>
  </si>
  <si>
    <t>pdf brochures</t>
  </si>
  <si>
    <t>website</t>
  </si>
  <si>
    <t>item24</t>
  </si>
  <si>
    <t>various</t>
  </si>
  <si>
    <t>industrial building kit; extruded aluminium and connectors</t>
  </si>
  <si>
    <t>metals4u</t>
  </si>
  <si>
    <t>aluminium tubes and clamps for handrails</t>
  </si>
  <si>
    <t>the metal store</t>
  </si>
  <si>
    <t>interclamp</t>
  </si>
  <si>
    <t>tube clamps and fittings for handrails (could be source for the above?)</t>
  </si>
  <si>
    <t>KeyClampStore</t>
  </si>
  <si>
    <t>key clamps from various suppliers</t>
  </si>
  <si>
    <t>webpage for 34mm tube</t>
  </si>
  <si>
    <t>Scaffolding Direct</t>
  </si>
  <si>
    <t>Aluminium tubes and clamps for scaffolding</t>
  </si>
  <si>
    <t>tube</t>
  </si>
  <si>
    <t>33.7mm clamps</t>
  </si>
  <si>
    <t>to add:</t>
  </si>
  <si>
    <t>scaffolding (so far I've only covered handrails)</t>
  </si>
  <si>
    <t>timber</t>
  </si>
  <si>
    <t>bamboo</t>
  </si>
  <si>
    <t>3D printing</t>
  </si>
  <si>
    <t>box section</t>
  </si>
  <si>
    <t>RS - clamps, bearings, etc</t>
  </si>
  <si>
    <t>flat bar</t>
  </si>
  <si>
    <t>polymer - tubes? Flat? How to clamp? Could use lasercutting to make 'meccano' pieces?</t>
  </si>
  <si>
    <t>re-structure - lead with descriptive category, then list sources, diameters, etc.</t>
  </si>
  <si>
    <t>other components - ie. Wheels, etc.</t>
  </si>
  <si>
    <t>mainstream bicycles</t>
  </si>
  <si>
    <t>unusual bicycles</t>
  </si>
  <si>
    <t>alternative cycles</t>
  </si>
  <si>
    <t>DIY cycle kits</t>
  </si>
  <si>
    <t>mountain</t>
  </si>
  <si>
    <t>fixie</t>
  </si>
  <si>
    <t>bmx</t>
  </si>
  <si>
    <t>dutch upright</t>
  </si>
  <si>
    <t>examples</t>
  </si>
  <si>
    <t>pros</t>
  </si>
  <si>
    <t>cons</t>
  </si>
  <si>
    <t>cost</t>
  </si>
  <si>
    <t>high end</t>
  </si>
  <si>
    <t>entry level</t>
  </si>
  <si>
    <t xml:space="preserve">folding </t>
  </si>
  <si>
    <t>wooden</t>
  </si>
  <si>
    <t>tallbike</t>
  </si>
  <si>
    <t>split frame</t>
  </si>
  <si>
    <t>S&amp;S couplers, breakaway, splitbikes</t>
  </si>
  <si>
    <t>penny farthing</t>
  </si>
  <si>
    <t>tandem</t>
  </si>
  <si>
    <t>cardboard</t>
  </si>
  <si>
    <t>longbike</t>
  </si>
  <si>
    <t>recumbent</t>
  </si>
  <si>
    <t>recumbent trike</t>
  </si>
  <si>
    <t>cruiser trike</t>
  </si>
  <si>
    <t>stunt trike</t>
  </si>
  <si>
    <t>cargo trike</t>
  </si>
  <si>
    <t>unicycle</t>
  </si>
  <si>
    <t>quadcycle</t>
  </si>
  <si>
    <t>tuk-tuk</t>
  </si>
  <si>
    <t>wheelchair tandem</t>
  </si>
  <si>
    <t>handbike</t>
  </si>
  <si>
    <t>aftermarket</t>
  </si>
  <si>
    <t>rear wheel childseat</t>
  </si>
  <si>
    <t>trailerbike tandem</t>
  </si>
  <si>
    <t>tandem coupler</t>
  </si>
  <si>
    <t>S&amp;S coupler</t>
  </si>
  <si>
    <t>wheelchair handbike attachement</t>
  </si>
  <si>
    <t>trailer</t>
  </si>
  <si>
    <t>sidecar</t>
  </si>
  <si>
    <t>for children, dogs, or cargo</t>
  </si>
  <si>
    <t>trike conversion set</t>
  </si>
  <si>
    <t>infento</t>
  </si>
  <si>
    <t>bellcycle</t>
  </si>
  <si>
    <t>XYZ cargobikes</t>
  </si>
  <si>
    <t>OBI 0.5</t>
  </si>
  <si>
    <t>woodenwidget</t>
  </si>
  <si>
    <t>adjustabike 1.0</t>
  </si>
  <si>
    <t>fit bike</t>
  </si>
  <si>
    <t xml:space="preserve">fully adjustable but stationary; used for bike fittings </t>
  </si>
  <si>
    <t>weight (kg)</t>
  </si>
  <si>
    <t>technology</t>
  </si>
  <si>
    <t>item24 industrial building kits</t>
  </si>
  <si>
    <t>Lean manufacturing tubes (diameter*mm)</t>
  </si>
  <si>
    <t>Round grooved profile extrusions</t>
  </si>
  <si>
    <t>Square grooved profile extrusions B</t>
  </si>
  <si>
    <t>Square grooved profile extrusions A</t>
  </si>
  <si>
    <t>tube and bracket company</t>
  </si>
  <si>
    <t>grooved or smooth tubes 28.6mm diameter; aluminium; graphit (composit) joints</t>
  </si>
  <si>
    <t>grooved or smooth tubes 28.6mm diameter; steel; graphit (composit) joints</t>
  </si>
  <si>
    <t>grooved or smooth tubes 28.6mm diameter;aluminium; leantek (metal) joints</t>
  </si>
  <si>
    <t>grooved or smooth tubes 28.6mm diameter; steel; leantek (metal) joints</t>
  </si>
  <si>
    <t>hand railings</t>
  </si>
  <si>
    <t>polymer tubes</t>
  </si>
  <si>
    <t>polymer flat bar</t>
  </si>
  <si>
    <t>scaffolding</t>
  </si>
  <si>
    <t>26mm steel</t>
  </si>
  <si>
    <t>33mm steel</t>
  </si>
  <si>
    <t>48mm steel</t>
  </si>
  <si>
    <t>48mm aluminium</t>
  </si>
  <si>
    <t>sandwich bike</t>
  </si>
  <si>
    <t>flexible</t>
  </si>
  <si>
    <t>open source</t>
  </si>
  <si>
    <t>DIY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</si>
</sst>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_-[$£-809]* #,##0.00_-;\-[$£-809]* #,##0.00_-;_-[$£-809]* &quot;-&quot;??_-;_-@_-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222222"/>
      <name val="Courier New"/>
      <family val="3"/>
    </font>
    <font>
      <sz val="11"/>
      <color rgb="FF222222"/>
      <name val="Arial"/>
      <family val="2"/>
    </font>
    <font>
      <sz val="7"/>
      <color rgb="FF222222"/>
      <name val="Courier New"/>
      <family val="3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8"/>
      <color theme="1" tint="0.499984740745262"/>
      <name val="Courier New"/>
      <family val="3"/>
    </font>
    <font>
      <i/>
      <sz val="11"/>
      <color theme="1" tint="0.499984740745262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11"/>
      <color theme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medium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medium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medium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</borders>
  <cellStyleXfs count="25">
    <xf numFmtId="0" fontId="0" fillId="0" borderId="0"/>
    <xf numFmtId="0" fontId="7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</cellStyleXfs>
  <cellXfs count="11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quotePrefix="1" applyAlignment="1">
      <alignment wrapText="1"/>
    </xf>
    <xf numFmtId="164" fontId="0" fillId="0" borderId="0" xfId="0" applyNumberFormat="1"/>
    <xf numFmtId="0" fontId="3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left" indent="1"/>
    </xf>
    <xf numFmtId="0" fontId="3" fillId="2" borderId="1" xfId="0" applyFont="1" applyFill="1" applyBorder="1" applyAlignment="1">
      <alignment indent="1"/>
    </xf>
    <xf numFmtId="0" fontId="0" fillId="3" borderId="0" xfId="0" applyFill="1"/>
    <xf numFmtId="164" fontId="0" fillId="3" borderId="0" xfId="0" applyNumberFormat="1" applyFill="1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indent="1"/>
    </xf>
    <xf numFmtId="0" fontId="0" fillId="0" borderId="0" xfId="0" applyAlignment="1">
      <alignment horizontal="right"/>
    </xf>
    <xf numFmtId="0" fontId="0" fillId="4" borderId="0" xfId="0" applyFill="1"/>
    <xf numFmtId="0" fontId="0" fillId="4" borderId="0" xfId="0" applyFill="1" applyAlignment="1">
      <alignment horizontal="right"/>
    </xf>
    <xf numFmtId="0" fontId="0" fillId="0" borderId="2" xfId="0" applyBorder="1"/>
    <xf numFmtId="0" fontId="0" fillId="5" borderId="0" xfId="0" applyFill="1"/>
    <xf numFmtId="0" fontId="0" fillId="5" borderId="0" xfId="0" applyFill="1" applyAlignment="1">
      <alignment horizontal="right"/>
    </xf>
    <xf numFmtId="0" fontId="0" fillId="0" borderId="2" xfId="0" applyBorder="1" applyAlignment="1">
      <alignment horizontal="right"/>
    </xf>
    <xf numFmtId="0" fontId="0" fillId="6" borderId="0" xfId="0" applyFill="1"/>
    <xf numFmtId="0" fontId="0" fillId="6" borderId="0" xfId="0" applyFill="1" applyAlignment="1">
      <alignment horizontal="right"/>
    </xf>
    <xf numFmtId="0" fontId="0" fillId="0" borderId="0" xfId="0" applyAlignment="1"/>
    <xf numFmtId="0" fontId="0" fillId="0" borderId="2" xfId="0" applyFill="1" applyBorder="1"/>
    <xf numFmtId="1" fontId="0" fillId="0" borderId="2" xfId="0" applyNumberFormat="1" applyBorder="1"/>
    <xf numFmtId="1" fontId="0" fillId="0" borderId="0" xfId="0" applyNumberFormat="1"/>
    <xf numFmtId="0" fontId="0" fillId="5" borderId="2" xfId="0" applyFill="1" applyBorder="1" applyAlignment="1">
      <alignment horizontal="right"/>
    </xf>
    <xf numFmtId="1" fontId="0" fillId="5" borderId="2" xfId="0" applyNumberFormat="1" applyFill="1" applyBorder="1"/>
    <xf numFmtId="0" fontId="0" fillId="5" borderId="2" xfId="0" applyFill="1" applyBorder="1"/>
    <xf numFmtId="0" fontId="0" fillId="7" borderId="2" xfId="0" applyFill="1" applyBorder="1" applyAlignment="1">
      <alignment horizontal="right"/>
    </xf>
    <xf numFmtId="1" fontId="0" fillId="7" borderId="2" xfId="0" applyNumberFormat="1" applyFill="1" applyBorder="1"/>
    <xf numFmtId="0" fontId="0" fillId="7" borderId="2" xfId="0" applyFill="1" applyBorder="1"/>
    <xf numFmtId="0" fontId="0" fillId="8" borderId="2" xfId="0" applyFill="1" applyBorder="1" applyAlignment="1">
      <alignment horizontal="right"/>
    </xf>
    <xf numFmtId="1" fontId="0" fillId="8" borderId="2" xfId="0" applyNumberFormat="1" applyFill="1" applyBorder="1"/>
    <xf numFmtId="0" fontId="0" fillId="8" borderId="2" xfId="0" applyFill="1" applyBorder="1"/>
    <xf numFmtId="0" fontId="8" fillId="0" borderId="0" xfId="0" applyFont="1"/>
    <xf numFmtId="0" fontId="9" fillId="2" borderId="0" xfId="0" applyFont="1" applyFill="1" applyBorder="1" applyAlignment="1">
      <alignment horizontal="left" inden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left"/>
    </xf>
    <xf numFmtId="0" fontId="0" fillId="0" borderId="3" xfId="0" applyBorder="1" applyAlignment="1">
      <alignment wrapText="1"/>
    </xf>
    <xf numFmtId="0" fontId="0" fillId="0" borderId="8" xfId="0" applyBorder="1"/>
    <xf numFmtId="0" fontId="0" fillId="0" borderId="3" xfId="0" applyBorder="1" applyAlignment="1">
      <alignment horizontal="left" wrapText="1"/>
    </xf>
    <xf numFmtId="0" fontId="0" fillId="0" borderId="8" xfId="0" applyBorder="1" applyAlignment="1">
      <alignment wrapText="1"/>
    </xf>
    <xf numFmtId="0" fontId="7" fillId="0" borderId="8" xfId="1" applyBorder="1"/>
    <xf numFmtId="0" fontId="0" fillId="0" borderId="3" xfId="0" applyFont="1" applyBorder="1"/>
    <xf numFmtId="0" fontId="0" fillId="0" borderId="3" xfId="0" applyFont="1" applyBorder="1" applyAlignment="1">
      <alignment wrapText="1"/>
    </xf>
    <xf numFmtId="0" fontId="0" fillId="0" borderId="8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1" fillId="0" borderId="12" xfId="0" applyFont="1" applyBorder="1"/>
    <xf numFmtId="0" fontId="1" fillId="0" borderId="13" xfId="0" applyFont="1" applyBorder="1"/>
    <xf numFmtId="0" fontId="1" fillId="0" borderId="13" xfId="0" applyFont="1" applyBorder="1" applyAlignment="1">
      <alignment horizontal="left"/>
    </xf>
    <xf numFmtId="0" fontId="1" fillId="0" borderId="13" xfId="0" applyFont="1" applyBorder="1" applyAlignment="1">
      <alignment wrapText="1"/>
    </xf>
    <xf numFmtId="0" fontId="1" fillId="0" borderId="14" xfId="0" applyFont="1" applyBorder="1"/>
    <xf numFmtId="0" fontId="0" fillId="0" borderId="5" xfId="0" applyBorder="1"/>
    <xf numFmtId="0" fontId="0" fillId="0" borderId="5" xfId="0" applyBorder="1" applyAlignment="1">
      <alignment horizontal="left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5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6" xfId="0" applyBorder="1"/>
    <xf numFmtId="0" fontId="0" fillId="0" borderId="11" xfId="0" applyBorder="1"/>
    <xf numFmtId="0" fontId="0" fillId="0" borderId="5" xfId="0" applyFont="1" applyBorder="1" applyAlignment="1">
      <alignment wrapText="1"/>
    </xf>
    <xf numFmtId="0" fontId="0" fillId="0" borderId="11" xfId="0" applyFont="1" applyBorder="1"/>
    <xf numFmtId="0" fontId="0" fillId="0" borderId="13" xfId="0" applyBorder="1"/>
    <xf numFmtId="0" fontId="0" fillId="0" borderId="13" xfId="0" applyBorder="1" applyAlignment="1">
      <alignment wrapText="1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wrapText="1"/>
    </xf>
    <xf numFmtId="0" fontId="10" fillId="0" borderId="0" xfId="0" applyFont="1"/>
    <xf numFmtId="0" fontId="0" fillId="0" borderId="0" xfId="0" quotePrefix="1" applyAlignment="1">
      <alignment horizontal="left"/>
    </xf>
    <xf numFmtId="0" fontId="11" fillId="0" borderId="0" xfId="0" applyFont="1" applyAlignment="1">
      <alignment vertical="center"/>
    </xf>
    <xf numFmtId="0" fontId="7" fillId="0" borderId="0" xfId="1" applyAlignment="1">
      <alignment wrapText="1"/>
    </xf>
    <xf numFmtId="0" fontId="1" fillId="0" borderId="0" xfId="0" applyFont="1" applyAlignment="1"/>
    <xf numFmtId="0" fontId="0" fillId="0" borderId="0" xfId="0" applyFont="1"/>
    <xf numFmtId="0" fontId="0" fillId="0" borderId="0" xfId="0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15" xfId="0" applyFill="1" applyBorder="1"/>
    <xf numFmtId="0" fontId="0" fillId="9" borderId="3" xfId="0" applyFill="1" applyBorder="1"/>
    <xf numFmtId="165" fontId="1" fillId="0" borderId="3" xfId="0" applyNumberFormat="1" applyFont="1" applyBorder="1" applyAlignment="1">
      <alignment horizontal="center" vertical="center"/>
    </xf>
    <xf numFmtId="165" fontId="0" fillId="9" borderId="3" xfId="0" applyNumberFormat="1" applyFill="1" applyBorder="1"/>
    <xf numFmtId="165" fontId="0" fillId="0" borderId="3" xfId="0" applyNumberFormat="1" applyBorder="1"/>
    <xf numFmtId="165" fontId="0" fillId="0" borderId="0" xfId="0" applyNumberFormat="1"/>
    <xf numFmtId="0" fontId="1" fillId="0" borderId="4" xfId="0" applyFont="1" applyBorder="1" applyAlignment="1">
      <alignment horizontal="center" vertical="center" textRotation="90"/>
    </xf>
    <xf numFmtId="0" fontId="1" fillId="0" borderId="7" xfId="0" applyFont="1" applyBorder="1" applyAlignment="1">
      <alignment horizontal="center" vertical="center" textRotation="90"/>
    </xf>
    <xf numFmtId="0" fontId="1" fillId="0" borderId="9" xfId="0" applyFont="1" applyBorder="1" applyAlignment="1">
      <alignment horizontal="center" vertical="center" textRotation="90"/>
    </xf>
    <xf numFmtId="0" fontId="1" fillId="0" borderId="4" xfId="0" applyFont="1" applyBorder="1" applyAlignment="1">
      <alignment horizontal="center" vertical="center" textRotation="90" wrapText="1"/>
    </xf>
    <xf numFmtId="0" fontId="1" fillId="0" borderId="7" xfId="0" applyFont="1" applyBorder="1" applyAlignment="1">
      <alignment horizontal="center" vertical="center" textRotation="90" wrapText="1"/>
    </xf>
    <xf numFmtId="0" fontId="1" fillId="0" borderId="9" xfId="0" applyFont="1" applyBorder="1" applyAlignment="1">
      <alignment horizontal="center" vertical="center" textRotation="90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 textRotation="90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3" xfId="0" applyBorder="1" applyAlignment="1"/>
  </cellXfs>
  <cellStyles count="25">
    <cellStyle name="Followed Hyperlink" xfId="2" builtinId="9" hidden="1"/>
    <cellStyle name="Followed Hyperlink" xfId="3" builtinId="9" hidden="1"/>
    <cellStyle name="Followed Hyperlink" xfId="4" builtinId="9" hidden="1"/>
    <cellStyle name="Followed Hyperlink" xfId="5" builtinId="9" hidden="1"/>
    <cellStyle name="Followed Hyperlink" xfId="6" builtinId="9" hidden="1"/>
    <cellStyle name="Followed Hyperlink" xfId="7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Followed Hyperlink" xfId="11" builtinId="9" hidden="1"/>
    <cellStyle name="Followed Hyperlink" xfId="12" builtinId="9" hidden="1"/>
    <cellStyle name="Followed Hyperlink" xfId="13" builtinId="9" hidden="1"/>
    <cellStyle name="Followed Hyperlink" xfId="14" builtinId="9" hidden="1"/>
    <cellStyle name="Followed Hyperlink" xfId="15" builtinId="9" hidden="1"/>
    <cellStyle name="Followed Hyperlink" xfId="16" builtinId="9" hidden="1"/>
    <cellStyle name="Followed Hyperlink" xfId="17" builtinId="9" hidden="1"/>
    <cellStyle name="Followed Hyperlink" xfId="18" builtinId="9" hidden="1"/>
    <cellStyle name="Followed Hyperlink" xfId="19" builtinId="9" hidden="1"/>
    <cellStyle name="Followed Hyperlink" xfId="20" builtinId="9" hidden="1"/>
    <cellStyle name="Followed Hyperlink" xfId="21" builtinId="9" hidden="1"/>
    <cellStyle name="Followed Hyperlink" xfId="22" builtinId="9" hidden="1"/>
    <cellStyle name="Followed Hyperlink" xfId="23" builtinId="9" hidden="1"/>
    <cellStyle name="Followed Hyperlink" xfId="24" builtinId="9" hidden="1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sharedStrings" Target="sharedStrings.xml"/><Relationship Id="rId12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jpeg"/><Relationship Id="rId7" Type="http://schemas.openxmlformats.org/officeDocument/2006/relationships/image" Target="../media/image7.png"/><Relationship Id="rId8" Type="http://schemas.openxmlformats.org/officeDocument/2006/relationships/image" Target="../media/image8.jpeg"/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65916</xdr:colOff>
      <xdr:row>19</xdr:row>
      <xdr:rowOff>147087</xdr:rowOff>
    </xdr:from>
    <xdr:to>
      <xdr:col>20</xdr:col>
      <xdr:colOff>274555</xdr:colOff>
      <xdr:row>32</xdr:row>
      <xdr:rowOff>173648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F7B2FE18-71EC-4F79-A467-8363C7D486D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r="1257" b="57519"/>
        <a:stretch/>
      </xdr:blipFill>
      <xdr:spPr bwMode="auto">
        <a:xfrm>
          <a:off x="9629016" y="6052587"/>
          <a:ext cx="4081587" cy="26268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1</xdr:colOff>
      <xdr:row>36</xdr:row>
      <xdr:rowOff>0</xdr:rowOff>
    </xdr:from>
    <xdr:to>
      <xdr:col>20</xdr:col>
      <xdr:colOff>312191</xdr:colOff>
      <xdr:row>46</xdr:row>
      <xdr:rowOff>188003</xdr:rowOff>
    </xdr:to>
    <xdr:pic>
      <xdr:nvPicPr>
        <xdr:cNvPr id="3" name="Picture 2" descr="bike diagram">
          <a:extLst>
            <a:ext uri="{FF2B5EF4-FFF2-40B4-BE49-F238E27FC236}">
              <a16:creationId xmlns:a16="http://schemas.microsoft.com/office/drawing/2014/main" xmlns="" id="{03519729-3C36-44AD-A73C-A86DBB6CE3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65578" y="9253904"/>
          <a:ext cx="4176346" cy="20930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208818</xdr:colOff>
      <xdr:row>34</xdr:row>
      <xdr:rowOff>169041</xdr:rowOff>
    </xdr:from>
    <xdr:to>
      <xdr:col>27</xdr:col>
      <xdr:colOff>131340</xdr:colOff>
      <xdr:row>45</xdr:row>
      <xdr:rowOff>115956</xdr:rowOff>
    </xdr:to>
    <xdr:pic>
      <xdr:nvPicPr>
        <xdr:cNvPr id="4" name="Picture 3" descr="Escape 3">
          <a:extLst>
            <a:ext uri="{FF2B5EF4-FFF2-40B4-BE49-F238E27FC236}">
              <a16:creationId xmlns:a16="http://schemas.microsoft.com/office/drawing/2014/main" xmlns="" id="{83D88EE2-0B66-462D-ABE4-A3C7B3808FC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duotone>
            <a:schemeClr val="accent2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 l="2454" t="4113" r="2380" b="4699"/>
        <a:stretch/>
      </xdr:blipFill>
      <xdr:spPr bwMode="auto">
        <a:xfrm>
          <a:off x="14098753" y="9056280"/>
          <a:ext cx="3600000" cy="20424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146713</xdr:colOff>
      <xdr:row>20</xdr:row>
      <xdr:rowOff>163146</xdr:rowOff>
    </xdr:from>
    <xdr:to>
      <xdr:col>27</xdr:col>
      <xdr:colOff>69235</xdr:colOff>
      <xdr:row>31</xdr:row>
      <xdr:rowOff>58478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xmlns="" id="{3F367959-41F7-4540-8262-6A5178F8D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alphaModFix/>
          <a:duotone>
            <a:schemeClr val="accent6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77013" y="6268671"/>
          <a:ext cx="3580122" cy="20956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66260</xdr:colOff>
      <xdr:row>50</xdr:row>
      <xdr:rowOff>99394</xdr:rowOff>
    </xdr:from>
    <xdr:to>
      <xdr:col>20</xdr:col>
      <xdr:colOff>364434</xdr:colOff>
      <xdr:row>61</xdr:row>
      <xdr:rowOff>188580</xdr:rowOff>
    </xdr:to>
    <xdr:pic>
      <xdr:nvPicPr>
        <xdr:cNvPr id="7" name="Picture 6" descr="bike diagram">
          <a:extLst>
            <a:ext uri="{FF2B5EF4-FFF2-40B4-BE49-F238E27FC236}">
              <a16:creationId xmlns:a16="http://schemas.microsoft.com/office/drawing/2014/main" xmlns="" id="{035C2023-DA38-426E-BF74-2CE487594D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65803" y="12034633"/>
          <a:ext cx="4191001" cy="21846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124239</xdr:colOff>
      <xdr:row>50</xdr:row>
      <xdr:rowOff>99390</xdr:rowOff>
    </xdr:from>
    <xdr:to>
      <xdr:col>27</xdr:col>
      <xdr:colOff>46761</xdr:colOff>
      <xdr:row>60</xdr:row>
      <xdr:rowOff>184635</xdr:rowOff>
    </xdr:to>
    <xdr:pic>
      <xdr:nvPicPr>
        <xdr:cNvPr id="8" name="Picture 7" descr="Fathom 1">
          <a:extLst>
            <a:ext uri="{FF2B5EF4-FFF2-40B4-BE49-F238E27FC236}">
              <a16:creationId xmlns:a16="http://schemas.microsoft.com/office/drawing/2014/main" xmlns="" id="{54CADC83-E788-4428-9202-238773DAF98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duotone>
            <a:schemeClr val="accent1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77" t="4938" r="2794" b="5532"/>
        <a:stretch/>
      </xdr:blipFill>
      <xdr:spPr bwMode="auto">
        <a:xfrm>
          <a:off x="14014174" y="12034629"/>
          <a:ext cx="3600000" cy="19902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0</xdr:colOff>
      <xdr:row>69</xdr:row>
      <xdr:rowOff>1</xdr:rowOff>
    </xdr:from>
    <xdr:to>
      <xdr:col>20</xdr:col>
      <xdr:colOff>320087</xdr:colOff>
      <xdr:row>79</xdr:row>
      <xdr:rowOff>14586</xdr:rowOff>
    </xdr:to>
    <xdr:pic>
      <xdr:nvPicPr>
        <xdr:cNvPr id="9" name="Picture 8" descr="bike diagram">
          <a:extLst>
            <a:ext uri="{FF2B5EF4-FFF2-40B4-BE49-F238E27FC236}">
              <a16:creationId xmlns:a16="http://schemas.microsoft.com/office/drawing/2014/main" xmlns="" id="{0BC0E8CA-D594-4EC0-A6CD-CF65B64E04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12457" y="15554740"/>
          <a:ext cx="3600000" cy="19195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91107</xdr:colOff>
      <xdr:row>69</xdr:row>
      <xdr:rowOff>91108</xdr:rowOff>
    </xdr:from>
    <xdr:to>
      <xdr:col>27</xdr:col>
      <xdr:colOff>13629</xdr:colOff>
      <xdr:row>80</xdr:row>
      <xdr:rowOff>66482</xdr:rowOff>
    </xdr:to>
    <xdr:pic>
      <xdr:nvPicPr>
        <xdr:cNvPr id="10" name="Picture 9" descr="Contend 1">
          <a:extLst>
            <a:ext uri="{FF2B5EF4-FFF2-40B4-BE49-F238E27FC236}">
              <a16:creationId xmlns:a16="http://schemas.microsoft.com/office/drawing/2014/main" xmlns="" id="{A175A608-3176-4425-AB0C-47004C247B1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l="2530" t="4203" r="2680" b="5234"/>
        <a:stretch/>
      </xdr:blipFill>
      <xdr:spPr bwMode="auto">
        <a:xfrm>
          <a:off x="13981042" y="15645847"/>
          <a:ext cx="3600000" cy="20708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ngineeringtoolbox.com/factors-safety-fos-d_1624.html" TargetMode="External"/><Relationship Id="rId4" Type="http://schemas.openxmlformats.org/officeDocument/2006/relationships/hyperlink" Target="https://www.engineeringtoolbox.com/factors-safety-fos-d_1624.html" TargetMode="External"/><Relationship Id="rId5" Type="http://schemas.openxmlformats.org/officeDocument/2006/relationships/hyperlink" Target="https://assets.publishing.service.gov.uk/government/uploads/system/uploads/attachment_data/file/821842/walking-and-cycling-statistics-2018-accessible.pdf" TargetMode="External"/><Relationship Id="rId1" Type="http://schemas.openxmlformats.org/officeDocument/2006/relationships/hyperlink" Target="http://citeseerx.ist.psu.edu/viewdoc/download?doi=10.1.1.740.9865&amp;rep=rep1&amp;type=pdf" TargetMode="External"/><Relationship Id="rId2" Type="http://schemas.openxmlformats.org/officeDocument/2006/relationships/hyperlink" Target="http://citeseerx.ist.psu.edu/viewdoc/download?doi=10.1.1.740.9865&amp;rep=rep1&amp;type=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uk.item24.com/en/" TargetMode="External"/><Relationship Id="rId4" Type="http://schemas.openxmlformats.org/officeDocument/2006/relationships/hyperlink" Target="https://www.metals4u.co.uk/tube-clamps/c180/fittings-sockets/c6641" TargetMode="External"/><Relationship Id="rId5" Type="http://schemas.openxmlformats.org/officeDocument/2006/relationships/hyperlink" Target="https://www.themetalstore.co.uk/products/tube-clamp-uk-suppliers" TargetMode="External"/><Relationship Id="rId6" Type="http://schemas.openxmlformats.org/officeDocument/2006/relationships/hyperlink" Target="https://www.interclamp.com/" TargetMode="External"/><Relationship Id="rId7" Type="http://schemas.openxmlformats.org/officeDocument/2006/relationships/hyperlink" Target="https://www.keyclampstore.com/key-clamp-fittings/34mm-key-clamp" TargetMode="External"/><Relationship Id="rId8" Type="http://schemas.openxmlformats.org/officeDocument/2006/relationships/hyperlink" Target="file:///C:/Users/hrh33/AppData/Roaming/Microsoft/Excel/scaffolding-direct.co.uk/aluminium-tube/" TargetMode="External"/><Relationship Id="rId9" Type="http://schemas.openxmlformats.org/officeDocument/2006/relationships/hyperlink" Target="https://www.scaffolding-direct.co.uk/tube-clamps-33-7mm/" TargetMode="External"/><Relationship Id="rId1" Type="http://schemas.openxmlformats.org/officeDocument/2006/relationships/hyperlink" Target="https://github.com/hannahrosen57/AdjustaBike-2.0/tree/master/clutter/possible%20components" TargetMode="External"/><Relationship Id="rId2" Type="http://schemas.openxmlformats.org/officeDocument/2006/relationships/hyperlink" Target="https://tubeandbracke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1"/>
  <sheetViews>
    <sheetView topLeftCell="A19" workbookViewId="0">
      <selection activeCell="E34" sqref="E34"/>
    </sheetView>
  </sheetViews>
  <sheetFormatPr baseColWidth="10" defaultColWidth="8.83203125" defaultRowHeight="14" x14ac:dyDescent="0"/>
  <cols>
    <col min="1" max="1" width="9.6640625" customWidth="1"/>
    <col min="2" max="2" width="4.33203125" bestFit="1" customWidth="1"/>
    <col min="3" max="3" width="5" bestFit="1" customWidth="1"/>
    <col min="4" max="4" width="7.1640625" style="2" bestFit="1" customWidth="1"/>
    <col min="5" max="5" width="78.6640625" style="3" customWidth="1"/>
    <col min="6" max="6" width="29.33203125" customWidth="1"/>
    <col min="10" max="10" width="6.5" customWidth="1"/>
    <col min="11" max="11" width="6" customWidth="1"/>
  </cols>
  <sheetData>
    <row r="1" spans="1:6" ht="42.75" customHeight="1">
      <c r="A1" s="97" t="s">
        <v>10</v>
      </c>
      <c r="B1" s="98"/>
      <c r="C1" s="98"/>
      <c r="D1" s="98"/>
      <c r="E1" s="98"/>
      <c r="F1" s="99"/>
    </row>
    <row r="2" spans="1:6" s="1" customFormat="1" ht="15" thickBot="1">
      <c r="A2" s="58" t="s">
        <v>2</v>
      </c>
      <c r="B2" s="59" t="s">
        <v>44</v>
      </c>
      <c r="C2" s="59" t="s">
        <v>0</v>
      </c>
      <c r="D2" s="60" t="s">
        <v>1</v>
      </c>
      <c r="E2" s="61" t="s">
        <v>3</v>
      </c>
      <c r="F2" s="62" t="s">
        <v>155</v>
      </c>
    </row>
    <row r="3" spans="1:6" s="1" customFormat="1">
      <c r="A3" s="91" t="s">
        <v>304</v>
      </c>
      <c r="B3" s="63">
        <v>1</v>
      </c>
      <c r="C3" s="63" t="s">
        <v>16</v>
      </c>
      <c r="D3" s="64" t="s">
        <v>20</v>
      </c>
      <c r="E3" s="65" t="s">
        <v>269</v>
      </c>
      <c r="F3" s="69" t="s">
        <v>271</v>
      </c>
    </row>
    <row r="4" spans="1:6">
      <c r="A4" s="92"/>
      <c r="B4" s="44">
        <v>2</v>
      </c>
      <c r="C4" s="44" t="s">
        <v>14</v>
      </c>
      <c r="D4" s="45">
        <v>4</v>
      </c>
      <c r="E4" s="46" t="s">
        <v>270</v>
      </c>
      <c r="F4" s="47" t="s">
        <v>271</v>
      </c>
    </row>
    <row r="5" spans="1:6">
      <c r="A5" s="92"/>
      <c r="B5" s="44">
        <v>3</v>
      </c>
      <c r="C5" s="46" t="s">
        <v>16</v>
      </c>
      <c r="D5" s="48" t="s">
        <v>20</v>
      </c>
      <c r="E5" s="46" t="s">
        <v>169</v>
      </c>
      <c r="F5" s="49" t="s">
        <v>272</v>
      </c>
    </row>
    <row r="6" spans="1:6">
      <c r="A6" s="92"/>
      <c r="B6" s="44">
        <v>4</v>
      </c>
      <c r="C6" s="46" t="s">
        <v>16</v>
      </c>
      <c r="D6" s="48" t="s">
        <v>20</v>
      </c>
      <c r="E6" s="46" t="s">
        <v>170</v>
      </c>
      <c r="F6" s="49" t="s">
        <v>272</v>
      </c>
    </row>
    <row r="7" spans="1:6">
      <c r="A7" s="92"/>
      <c r="B7" s="44">
        <v>5</v>
      </c>
      <c r="C7" s="46" t="s">
        <v>16</v>
      </c>
      <c r="D7" s="48" t="s">
        <v>20</v>
      </c>
      <c r="E7" s="46" t="s">
        <v>173</v>
      </c>
      <c r="F7" s="49" t="s">
        <v>272</v>
      </c>
    </row>
    <row r="8" spans="1:6">
      <c r="A8" s="92"/>
      <c r="B8" s="44">
        <v>6</v>
      </c>
      <c r="C8" s="46" t="s">
        <v>16</v>
      </c>
      <c r="D8" s="48" t="s">
        <v>20</v>
      </c>
      <c r="E8" s="46" t="s">
        <v>171</v>
      </c>
      <c r="F8" s="49" t="s">
        <v>288</v>
      </c>
    </row>
    <row r="9" spans="1:6">
      <c r="A9" s="92"/>
      <c r="B9" s="44">
        <v>7</v>
      </c>
      <c r="C9" s="44" t="s">
        <v>16</v>
      </c>
      <c r="D9" s="45" t="s">
        <v>20</v>
      </c>
      <c r="E9" s="46" t="s">
        <v>276</v>
      </c>
      <c r="F9" s="49" t="s">
        <v>277</v>
      </c>
    </row>
    <row r="10" spans="1:6">
      <c r="A10" s="92"/>
      <c r="B10" s="44">
        <v>8</v>
      </c>
      <c r="C10" s="46" t="s">
        <v>16</v>
      </c>
      <c r="D10" s="45" t="s">
        <v>20</v>
      </c>
      <c r="E10" s="46" t="s">
        <v>279</v>
      </c>
      <c r="F10" s="50" t="s">
        <v>278</v>
      </c>
    </row>
    <row r="11" spans="1:6">
      <c r="A11" s="92"/>
      <c r="B11" s="44">
        <v>9</v>
      </c>
      <c r="C11" s="46" t="s">
        <v>16</v>
      </c>
      <c r="D11" s="45" t="s">
        <v>20</v>
      </c>
      <c r="E11" s="46" t="s">
        <v>174</v>
      </c>
      <c r="F11" s="47" t="s">
        <v>185</v>
      </c>
    </row>
    <row r="12" spans="1:6">
      <c r="A12" s="92"/>
      <c r="B12" s="44">
        <v>10</v>
      </c>
      <c r="C12" s="46" t="s">
        <v>14</v>
      </c>
      <c r="D12" s="45">
        <v>3</v>
      </c>
      <c r="E12" s="46" t="s">
        <v>179</v>
      </c>
      <c r="F12" s="49" t="s">
        <v>213</v>
      </c>
    </row>
    <row r="13" spans="1:6" ht="28">
      <c r="A13" s="92"/>
      <c r="B13" s="44">
        <v>11</v>
      </c>
      <c r="C13" s="46" t="s">
        <v>16</v>
      </c>
      <c r="D13" s="45" t="s">
        <v>20</v>
      </c>
      <c r="E13" s="46" t="s">
        <v>273</v>
      </c>
      <c r="F13" s="49" t="s">
        <v>303</v>
      </c>
    </row>
    <row r="14" spans="1:6">
      <c r="A14" s="100"/>
      <c r="B14" s="73">
        <v>12</v>
      </c>
      <c r="C14" s="74" t="s">
        <v>16</v>
      </c>
      <c r="D14" s="75" t="s">
        <v>20</v>
      </c>
      <c r="E14" s="74" t="s">
        <v>221</v>
      </c>
      <c r="F14" s="76" t="s">
        <v>222</v>
      </c>
    </row>
    <row r="15" spans="1:6">
      <c r="A15" s="100"/>
      <c r="B15" s="44">
        <v>13</v>
      </c>
      <c r="C15" s="74" t="s">
        <v>14</v>
      </c>
      <c r="D15" s="75">
        <v>1</v>
      </c>
      <c r="E15" s="74" t="s">
        <v>315</v>
      </c>
      <c r="F15" s="49" t="s">
        <v>272</v>
      </c>
    </row>
    <row r="16" spans="1:6" ht="29" thickBot="1">
      <c r="A16" s="93"/>
      <c r="B16" s="44">
        <v>14</v>
      </c>
      <c r="C16" s="56" t="s">
        <v>14</v>
      </c>
      <c r="D16" s="55">
        <v>2</v>
      </c>
      <c r="E16" s="56" t="s">
        <v>316</v>
      </c>
      <c r="F16" s="70" t="s">
        <v>272</v>
      </c>
    </row>
    <row r="17" spans="1:6">
      <c r="A17" s="91" t="s">
        <v>158</v>
      </c>
      <c r="B17" s="63">
        <v>15</v>
      </c>
      <c r="C17" s="63" t="s">
        <v>14</v>
      </c>
      <c r="D17" s="64">
        <v>3</v>
      </c>
      <c r="E17" s="65" t="s">
        <v>260</v>
      </c>
      <c r="F17" s="69" t="s">
        <v>274</v>
      </c>
    </row>
    <row r="18" spans="1:6">
      <c r="A18" s="92"/>
      <c r="B18" s="44">
        <v>16</v>
      </c>
      <c r="C18" s="44" t="s">
        <v>16</v>
      </c>
      <c r="D18" s="45" t="s">
        <v>20</v>
      </c>
      <c r="E18" s="46" t="s">
        <v>305</v>
      </c>
      <c r="F18" s="47" t="s">
        <v>175</v>
      </c>
    </row>
    <row r="19" spans="1:6">
      <c r="A19" s="92"/>
      <c r="B19" s="44">
        <v>17</v>
      </c>
      <c r="C19" s="44" t="s">
        <v>14</v>
      </c>
      <c r="D19" s="45">
        <v>3</v>
      </c>
      <c r="E19" s="46" t="s">
        <v>306</v>
      </c>
      <c r="F19" s="47" t="s">
        <v>175</v>
      </c>
    </row>
    <row r="20" spans="1:6">
      <c r="A20" s="92"/>
      <c r="B20" s="44">
        <v>18</v>
      </c>
      <c r="C20" s="44" t="s">
        <v>16</v>
      </c>
      <c r="D20" s="45" t="s">
        <v>20</v>
      </c>
      <c r="E20" s="46" t="s">
        <v>307</v>
      </c>
      <c r="F20" s="47" t="s">
        <v>175</v>
      </c>
    </row>
    <row r="21" spans="1:6">
      <c r="A21" s="92"/>
      <c r="B21" s="44">
        <v>19</v>
      </c>
      <c r="C21" s="44" t="s">
        <v>14</v>
      </c>
      <c r="D21" s="45">
        <v>3</v>
      </c>
      <c r="E21" s="46" t="s">
        <v>308</v>
      </c>
      <c r="F21" s="47" t="s">
        <v>175</v>
      </c>
    </row>
    <row r="22" spans="1:6">
      <c r="A22" s="92"/>
      <c r="B22" s="44">
        <v>20</v>
      </c>
      <c r="C22" s="44" t="s">
        <v>16</v>
      </c>
      <c r="D22" s="45" t="s">
        <v>20</v>
      </c>
      <c r="E22" s="46" t="s">
        <v>201</v>
      </c>
      <c r="F22" s="47" t="s">
        <v>203</v>
      </c>
    </row>
    <row r="23" spans="1:6">
      <c r="A23" s="92"/>
      <c r="B23" s="44">
        <v>21</v>
      </c>
      <c r="C23" s="44" t="s">
        <v>14</v>
      </c>
      <c r="D23" s="45">
        <v>5</v>
      </c>
      <c r="E23" s="46" t="s">
        <v>161</v>
      </c>
      <c r="F23" s="47" t="s">
        <v>275</v>
      </c>
    </row>
    <row r="24" spans="1:6">
      <c r="A24" s="92"/>
      <c r="B24" s="44">
        <v>22</v>
      </c>
      <c r="C24" s="44" t="s">
        <v>16</v>
      </c>
      <c r="D24" s="45" t="s">
        <v>20</v>
      </c>
      <c r="E24" s="46" t="s">
        <v>309</v>
      </c>
      <c r="F24" s="47" t="s">
        <v>175</v>
      </c>
    </row>
    <row r="25" spans="1:6">
      <c r="A25" s="92"/>
      <c r="B25" s="44">
        <v>23</v>
      </c>
      <c r="C25" s="44" t="s">
        <v>14</v>
      </c>
      <c r="D25" s="45">
        <v>4</v>
      </c>
      <c r="E25" s="46" t="s">
        <v>310</v>
      </c>
      <c r="F25" s="47" t="s">
        <v>175</v>
      </c>
    </row>
    <row r="26" spans="1:6">
      <c r="A26" s="92"/>
      <c r="B26" s="44">
        <v>24</v>
      </c>
      <c r="C26" s="44" t="s">
        <v>14</v>
      </c>
      <c r="D26" s="45">
        <v>3</v>
      </c>
      <c r="E26" s="46" t="s">
        <v>313</v>
      </c>
      <c r="F26" s="47" t="s">
        <v>175</v>
      </c>
    </row>
    <row r="27" spans="1:6">
      <c r="A27" s="92"/>
      <c r="B27" s="44">
        <v>25</v>
      </c>
      <c r="C27" s="44" t="s">
        <v>14</v>
      </c>
      <c r="D27" s="45">
        <v>3</v>
      </c>
      <c r="E27" s="46" t="s">
        <v>312</v>
      </c>
      <c r="F27" s="47" t="s">
        <v>175</v>
      </c>
    </row>
    <row r="28" spans="1:6" ht="28">
      <c r="A28" s="92"/>
      <c r="B28" s="44">
        <v>26</v>
      </c>
      <c r="C28" s="44" t="s">
        <v>16</v>
      </c>
      <c r="D28" s="45" t="s">
        <v>20</v>
      </c>
      <c r="E28" s="46" t="s">
        <v>176</v>
      </c>
      <c r="F28" s="47" t="s">
        <v>175</v>
      </c>
    </row>
    <row r="29" spans="1:6">
      <c r="A29" s="92"/>
      <c r="B29" s="44">
        <v>27</v>
      </c>
      <c r="C29" s="44" t="s">
        <v>14</v>
      </c>
      <c r="D29" s="45">
        <v>4</v>
      </c>
      <c r="E29" s="46" t="s">
        <v>311</v>
      </c>
      <c r="F29" s="47" t="s">
        <v>175</v>
      </c>
    </row>
    <row r="30" spans="1:6">
      <c r="A30" s="92"/>
      <c r="B30" s="44">
        <v>28</v>
      </c>
      <c r="C30" s="44" t="s">
        <v>14</v>
      </c>
      <c r="D30" s="45">
        <v>4</v>
      </c>
      <c r="E30" s="46" t="s">
        <v>200</v>
      </c>
      <c r="F30" s="47" t="s">
        <v>185</v>
      </c>
    </row>
    <row r="31" spans="1:6">
      <c r="A31" s="92"/>
      <c r="B31" s="44">
        <v>29</v>
      </c>
      <c r="C31" s="44" t="s">
        <v>14</v>
      </c>
      <c r="D31" s="45">
        <v>1</v>
      </c>
      <c r="E31" s="46" t="s">
        <v>177</v>
      </c>
      <c r="F31" s="49" t="s">
        <v>272</v>
      </c>
    </row>
    <row r="32" spans="1:6" ht="42">
      <c r="A32" s="92"/>
      <c r="B32" s="44">
        <v>30</v>
      </c>
      <c r="C32" s="44" t="s">
        <v>16</v>
      </c>
      <c r="D32" s="45" t="s">
        <v>20</v>
      </c>
      <c r="E32" s="46" t="s">
        <v>208</v>
      </c>
      <c r="F32" s="47" t="s">
        <v>185</v>
      </c>
    </row>
    <row r="33" spans="1:6" ht="42">
      <c r="A33" s="92"/>
      <c r="B33" s="44">
        <v>31</v>
      </c>
      <c r="C33" s="44" t="s">
        <v>16</v>
      </c>
      <c r="D33" s="45" t="s">
        <v>20</v>
      </c>
      <c r="E33" s="46" t="s">
        <v>209</v>
      </c>
      <c r="F33" s="47" t="s">
        <v>185</v>
      </c>
    </row>
    <row r="34" spans="1:6" ht="42">
      <c r="A34" s="92"/>
      <c r="B34" s="44">
        <v>32</v>
      </c>
      <c r="C34" s="44" t="s">
        <v>16</v>
      </c>
      <c r="D34" s="45" t="s">
        <v>20</v>
      </c>
      <c r="E34" s="46" t="s">
        <v>233</v>
      </c>
      <c r="F34" s="47" t="s">
        <v>185</v>
      </c>
    </row>
    <row r="35" spans="1:6" ht="28">
      <c r="A35" s="92"/>
      <c r="B35" s="44">
        <v>33</v>
      </c>
      <c r="C35" s="44" t="s">
        <v>16</v>
      </c>
      <c r="D35" s="45" t="s">
        <v>20</v>
      </c>
      <c r="E35" s="46" t="s">
        <v>212</v>
      </c>
      <c r="F35" s="47" t="s">
        <v>185</v>
      </c>
    </row>
    <row r="36" spans="1:6" ht="15" thickBot="1">
      <c r="A36" s="93"/>
      <c r="B36" s="54">
        <v>34</v>
      </c>
      <c r="C36" s="54" t="s">
        <v>16</v>
      </c>
      <c r="D36" s="55" t="s">
        <v>20</v>
      </c>
      <c r="E36" s="56" t="s">
        <v>224</v>
      </c>
      <c r="F36" s="70" t="s">
        <v>185</v>
      </c>
    </row>
    <row r="37" spans="1:6">
      <c r="A37" s="91" t="s">
        <v>6</v>
      </c>
      <c r="B37" s="63">
        <v>35</v>
      </c>
      <c r="C37" s="63" t="s">
        <v>16</v>
      </c>
      <c r="D37" s="64" t="s">
        <v>20</v>
      </c>
      <c r="E37" s="65" t="s">
        <v>156</v>
      </c>
      <c r="F37" s="69" t="s">
        <v>280</v>
      </c>
    </row>
    <row r="38" spans="1:6" ht="28">
      <c r="A38" s="92"/>
      <c r="B38" s="44">
        <v>36</v>
      </c>
      <c r="C38" s="44" t="s">
        <v>16</v>
      </c>
      <c r="D38" s="45" t="s">
        <v>20</v>
      </c>
      <c r="E38" s="46" t="s">
        <v>214</v>
      </c>
      <c r="F38" s="47" t="s">
        <v>185</v>
      </c>
    </row>
    <row r="39" spans="1:6">
      <c r="A39" s="92"/>
      <c r="B39" s="44">
        <v>37</v>
      </c>
      <c r="C39" s="44" t="s">
        <v>16</v>
      </c>
      <c r="D39" s="45" t="s">
        <v>20</v>
      </c>
      <c r="E39" s="46" t="s">
        <v>194</v>
      </c>
      <c r="F39" s="47" t="s">
        <v>185</v>
      </c>
    </row>
    <row r="40" spans="1:6">
      <c r="A40" s="92"/>
      <c r="B40" s="44">
        <v>38</v>
      </c>
      <c r="C40" s="44" t="s">
        <v>14</v>
      </c>
      <c r="D40" s="45">
        <v>2</v>
      </c>
      <c r="E40" s="46" t="s">
        <v>197</v>
      </c>
      <c r="F40" s="50" t="s">
        <v>198</v>
      </c>
    </row>
    <row r="41" spans="1:6">
      <c r="A41" s="92"/>
      <c r="B41" s="44">
        <v>39</v>
      </c>
      <c r="C41" s="44" t="s">
        <v>16</v>
      </c>
      <c r="D41" s="45" t="s">
        <v>20</v>
      </c>
      <c r="E41" s="46" t="s">
        <v>199</v>
      </c>
      <c r="F41" s="50" t="s">
        <v>196</v>
      </c>
    </row>
    <row r="42" spans="1:6">
      <c r="A42" s="92"/>
      <c r="B42" s="44">
        <v>40</v>
      </c>
      <c r="C42" s="44" t="s">
        <v>14</v>
      </c>
      <c r="D42" s="45">
        <v>4</v>
      </c>
      <c r="E42" s="46" t="s">
        <v>289</v>
      </c>
      <c r="F42" s="49" t="s">
        <v>272</v>
      </c>
    </row>
    <row r="43" spans="1:6" ht="28">
      <c r="A43" s="92"/>
      <c r="B43" s="44">
        <v>41</v>
      </c>
      <c r="C43" s="44" t="s">
        <v>16</v>
      </c>
      <c r="D43" s="45" t="s">
        <v>20</v>
      </c>
      <c r="E43" s="46" t="s">
        <v>290</v>
      </c>
      <c r="F43" s="47" t="s">
        <v>185</v>
      </c>
    </row>
    <row r="44" spans="1:6">
      <c r="A44" s="92"/>
      <c r="B44" s="44">
        <v>42</v>
      </c>
      <c r="C44" s="44" t="s">
        <v>16</v>
      </c>
      <c r="D44" s="45" t="s">
        <v>20</v>
      </c>
      <c r="E44" s="46" t="s">
        <v>195</v>
      </c>
      <c r="F44" s="47" t="s">
        <v>185</v>
      </c>
    </row>
    <row r="45" spans="1:6" ht="43" thickBot="1">
      <c r="A45" s="93"/>
      <c r="B45" s="54">
        <v>43</v>
      </c>
      <c r="C45" s="54" t="s">
        <v>14</v>
      </c>
      <c r="D45" s="55">
        <v>4</v>
      </c>
      <c r="E45" s="56" t="s">
        <v>204</v>
      </c>
      <c r="F45" s="70" t="s">
        <v>185</v>
      </c>
    </row>
    <row r="46" spans="1:6">
      <c r="A46" s="91" t="s">
        <v>4</v>
      </c>
      <c r="B46" s="63">
        <v>44</v>
      </c>
      <c r="C46" s="63" t="s">
        <v>16</v>
      </c>
      <c r="D46" s="64" t="s">
        <v>20</v>
      </c>
      <c r="E46" s="65" t="s">
        <v>157</v>
      </c>
      <c r="F46" s="69" t="s">
        <v>280</v>
      </c>
    </row>
    <row r="47" spans="1:6">
      <c r="A47" s="92"/>
      <c r="B47" s="44">
        <v>45</v>
      </c>
      <c r="C47" s="44" t="s">
        <v>16</v>
      </c>
      <c r="D47" s="45" t="s">
        <v>20</v>
      </c>
      <c r="E47" s="46" t="s">
        <v>205</v>
      </c>
      <c r="F47" s="47" t="s">
        <v>206</v>
      </c>
    </row>
    <row r="48" spans="1:6" ht="28">
      <c r="A48" s="92"/>
      <c r="B48" s="44">
        <v>46</v>
      </c>
      <c r="C48" s="44" t="s">
        <v>14</v>
      </c>
      <c r="D48" s="45">
        <v>4</v>
      </c>
      <c r="E48" s="46" t="s">
        <v>291</v>
      </c>
      <c r="F48" s="47" t="s">
        <v>185</v>
      </c>
    </row>
    <row r="49" spans="1:6">
      <c r="A49" s="92"/>
      <c r="B49" s="44">
        <v>47</v>
      </c>
      <c r="C49" s="44" t="s">
        <v>16</v>
      </c>
      <c r="D49" s="45" t="s">
        <v>20</v>
      </c>
      <c r="E49" s="46" t="s">
        <v>168</v>
      </c>
      <c r="F49" s="49" t="s">
        <v>272</v>
      </c>
    </row>
    <row r="50" spans="1:6">
      <c r="A50" s="92"/>
      <c r="B50" s="44">
        <v>48</v>
      </c>
      <c r="C50" s="44" t="s">
        <v>16</v>
      </c>
      <c r="D50" s="45" t="s">
        <v>20</v>
      </c>
      <c r="E50" s="46" t="s">
        <v>261</v>
      </c>
      <c r="F50" s="47" t="s">
        <v>206</v>
      </c>
    </row>
    <row r="51" spans="1:6" ht="28">
      <c r="A51" s="92"/>
      <c r="B51" s="44">
        <v>49</v>
      </c>
      <c r="C51" s="51" t="s">
        <v>16</v>
      </c>
      <c r="D51" s="43" t="s">
        <v>20</v>
      </c>
      <c r="E51" s="52" t="s">
        <v>207</v>
      </c>
      <c r="F51" s="53" t="s">
        <v>185</v>
      </c>
    </row>
    <row r="52" spans="1:6">
      <c r="A52" s="92"/>
      <c r="B52" s="44">
        <v>50</v>
      </c>
      <c r="C52" s="44" t="s">
        <v>16</v>
      </c>
      <c r="D52" s="45" t="s">
        <v>20</v>
      </c>
      <c r="E52" s="46" t="s">
        <v>223</v>
      </c>
      <c r="F52" s="53" t="s">
        <v>185</v>
      </c>
    </row>
    <row r="53" spans="1:6" ht="29" thickBot="1">
      <c r="A53" s="93"/>
      <c r="B53" s="54">
        <v>51</v>
      </c>
      <c r="C53" s="54" t="s">
        <v>14</v>
      </c>
      <c r="D53" s="55">
        <v>5</v>
      </c>
      <c r="E53" s="56" t="s">
        <v>263</v>
      </c>
      <c r="F53" s="72" t="s">
        <v>185</v>
      </c>
    </row>
    <row r="54" spans="1:6">
      <c r="A54" s="91" t="s">
        <v>7</v>
      </c>
      <c r="B54" s="63">
        <v>52</v>
      </c>
      <c r="C54" s="63" t="s">
        <v>16</v>
      </c>
      <c r="D54" s="64" t="s">
        <v>20</v>
      </c>
      <c r="E54" s="65" t="s">
        <v>262</v>
      </c>
      <c r="F54" s="69" t="s">
        <v>186</v>
      </c>
    </row>
    <row r="55" spans="1:6">
      <c r="A55" s="92"/>
      <c r="B55" s="44">
        <v>53</v>
      </c>
      <c r="C55" s="44" t="s">
        <v>16</v>
      </c>
      <c r="D55" s="45" t="s">
        <v>20</v>
      </c>
      <c r="E55" s="46" t="s">
        <v>264</v>
      </c>
      <c r="F55" s="47" t="s">
        <v>186</v>
      </c>
    </row>
    <row r="56" spans="1:6">
      <c r="A56" s="92"/>
      <c r="B56" s="44">
        <v>54</v>
      </c>
      <c r="C56" s="44" t="s">
        <v>16</v>
      </c>
      <c r="D56" s="45" t="s">
        <v>20</v>
      </c>
      <c r="E56" s="46" t="s">
        <v>166</v>
      </c>
      <c r="F56" s="47" t="s">
        <v>187</v>
      </c>
    </row>
    <row r="57" spans="1:6" ht="28">
      <c r="A57" s="92"/>
      <c r="B57" s="44">
        <v>55</v>
      </c>
      <c r="C57" s="44" t="s">
        <v>16</v>
      </c>
      <c r="D57" s="45" t="s">
        <v>20</v>
      </c>
      <c r="E57" s="46" t="s">
        <v>190</v>
      </c>
      <c r="F57" s="47" t="s">
        <v>185</v>
      </c>
    </row>
    <row r="58" spans="1:6">
      <c r="A58" s="92"/>
      <c r="B58" s="44">
        <v>56</v>
      </c>
      <c r="C58" s="44" t="s">
        <v>14</v>
      </c>
      <c r="D58" s="45">
        <v>5</v>
      </c>
      <c r="E58" s="46" t="s">
        <v>192</v>
      </c>
      <c r="F58" s="47" t="s">
        <v>185</v>
      </c>
    </row>
    <row r="59" spans="1:6">
      <c r="A59" s="92"/>
      <c r="B59" s="44">
        <v>57</v>
      </c>
      <c r="C59" s="44" t="s">
        <v>14</v>
      </c>
      <c r="D59" s="45">
        <v>5</v>
      </c>
      <c r="E59" s="46" t="s">
        <v>193</v>
      </c>
      <c r="F59" s="47" t="s">
        <v>185</v>
      </c>
    </row>
    <row r="60" spans="1:6">
      <c r="A60" s="92"/>
      <c r="B60" s="44">
        <v>58</v>
      </c>
      <c r="C60" s="44" t="s">
        <v>14</v>
      </c>
      <c r="D60" s="45">
        <v>4</v>
      </c>
      <c r="E60" s="46" t="s">
        <v>191</v>
      </c>
      <c r="F60" s="47" t="s">
        <v>185</v>
      </c>
    </row>
    <row r="61" spans="1:6">
      <c r="A61" s="92"/>
      <c r="B61" s="44">
        <v>59</v>
      </c>
      <c r="C61" s="44" t="s">
        <v>16</v>
      </c>
      <c r="D61" s="45" t="s">
        <v>20</v>
      </c>
      <c r="E61" s="46" t="s">
        <v>188</v>
      </c>
      <c r="F61" s="47" t="s">
        <v>185</v>
      </c>
    </row>
    <row r="62" spans="1:6" ht="29" thickBot="1">
      <c r="A62" s="93"/>
      <c r="B62" s="54">
        <v>60</v>
      </c>
      <c r="C62" s="54" t="s">
        <v>16</v>
      </c>
      <c r="D62" s="55" t="s">
        <v>20</v>
      </c>
      <c r="E62" s="56" t="s">
        <v>189</v>
      </c>
      <c r="F62" s="70" t="s">
        <v>185</v>
      </c>
    </row>
    <row r="63" spans="1:6">
      <c r="A63" s="91" t="s">
        <v>159</v>
      </c>
      <c r="B63" s="63">
        <v>61</v>
      </c>
      <c r="C63" s="63" t="s">
        <v>16</v>
      </c>
      <c r="D63" s="64" t="s">
        <v>20</v>
      </c>
      <c r="E63" s="71" t="s">
        <v>265</v>
      </c>
      <c r="F63" s="69" t="s">
        <v>280</v>
      </c>
    </row>
    <row r="64" spans="1:6">
      <c r="A64" s="92"/>
      <c r="B64" s="44">
        <v>62</v>
      </c>
      <c r="C64" s="44" t="s">
        <v>14</v>
      </c>
      <c r="D64" s="45">
        <v>4</v>
      </c>
      <c r="E64" s="46" t="s">
        <v>292</v>
      </c>
      <c r="F64" s="47" t="s">
        <v>175</v>
      </c>
    </row>
    <row r="65" spans="1:6" ht="28">
      <c r="A65" s="92"/>
      <c r="B65" s="44">
        <v>63</v>
      </c>
      <c r="C65" s="44" t="s">
        <v>14</v>
      </c>
      <c r="D65" s="45">
        <v>4</v>
      </c>
      <c r="E65" s="46" t="s">
        <v>293</v>
      </c>
      <c r="F65" s="47" t="s">
        <v>185</v>
      </c>
    </row>
    <row r="66" spans="1:6" ht="28">
      <c r="A66" s="92"/>
      <c r="B66" s="44">
        <v>64</v>
      </c>
      <c r="C66" s="44" t="s">
        <v>16</v>
      </c>
      <c r="D66" s="45" t="s">
        <v>20</v>
      </c>
      <c r="E66" s="46" t="s">
        <v>225</v>
      </c>
      <c r="F66" s="47" t="s">
        <v>185</v>
      </c>
    </row>
    <row r="67" spans="1:6">
      <c r="A67" s="92"/>
      <c r="B67" s="44">
        <v>65</v>
      </c>
      <c r="C67" s="44" t="s">
        <v>14</v>
      </c>
      <c r="D67" s="45">
        <v>4</v>
      </c>
      <c r="E67" s="46" t="s">
        <v>294</v>
      </c>
      <c r="F67" s="47" t="s">
        <v>185</v>
      </c>
    </row>
    <row r="68" spans="1:6" ht="28">
      <c r="A68" s="92"/>
      <c r="B68" s="44">
        <v>66</v>
      </c>
      <c r="C68" s="44" t="s">
        <v>16</v>
      </c>
      <c r="D68" s="45" t="s">
        <v>20</v>
      </c>
      <c r="E68" s="46" t="s">
        <v>226</v>
      </c>
      <c r="F68" s="47" t="s">
        <v>185</v>
      </c>
    </row>
    <row r="69" spans="1:6" ht="28">
      <c r="A69" s="92"/>
      <c r="B69" s="44">
        <v>67</v>
      </c>
      <c r="C69" s="44" t="s">
        <v>16</v>
      </c>
      <c r="D69" s="45" t="s">
        <v>20</v>
      </c>
      <c r="E69" s="46" t="s">
        <v>227</v>
      </c>
      <c r="F69" s="47" t="s">
        <v>185</v>
      </c>
    </row>
    <row r="70" spans="1:6" ht="15" thickBot="1">
      <c r="A70" s="93"/>
      <c r="B70" s="54">
        <v>68</v>
      </c>
      <c r="C70" s="54" t="s">
        <v>14</v>
      </c>
      <c r="D70" s="55">
        <v>5</v>
      </c>
      <c r="E70" s="56" t="s">
        <v>266</v>
      </c>
      <c r="F70" s="57" t="s">
        <v>272</v>
      </c>
    </row>
    <row r="71" spans="1:6">
      <c r="A71" s="91" t="s">
        <v>5</v>
      </c>
      <c r="B71" s="63">
        <v>69</v>
      </c>
      <c r="C71" s="63" t="s">
        <v>16</v>
      </c>
      <c r="D71" s="64" t="s">
        <v>20</v>
      </c>
      <c r="E71" s="65" t="s">
        <v>267</v>
      </c>
      <c r="F71" s="69" t="s">
        <v>280</v>
      </c>
    </row>
    <row r="72" spans="1:6">
      <c r="A72" s="92"/>
      <c r="B72" s="44">
        <v>70</v>
      </c>
      <c r="C72" s="44" t="s">
        <v>16</v>
      </c>
      <c r="D72" s="45" t="s">
        <v>20</v>
      </c>
      <c r="E72" s="46" t="s">
        <v>164</v>
      </c>
      <c r="F72" s="47" t="s">
        <v>185</v>
      </c>
    </row>
    <row r="73" spans="1:6">
      <c r="A73" s="92"/>
      <c r="B73" s="44">
        <v>71</v>
      </c>
      <c r="C73" s="44" t="s">
        <v>14</v>
      </c>
      <c r="D73" s="45">
        <v>4</v>
      </c>
      <c r="E73" s="46" t="s">
        <v>181</v>
      </c>
      <c r="F73" s="47" t="s">
        <v>202</v>
      </c>
    </row>
    <row r="74" spans="1:6">
      <c r="A74" s="92"/>
      <c r="B74" s="44">
        <v>72</v>
      </c>
      <c r="C74" s="44" t="s">
        <v>14</v>
      </c>
      <c r="D74" s="45">
        <v>4</v>
      </c>
      <c r="E74" s="46" t="s">
        <v>180</v>
      </c>
      <c r="F74" s="47" t="s">
        <v>206</v>
      </c>
    </row>
    <row r="75" spans="1:6">
      <c r="A75" s="92"/>
      <c r="B75" s="44">
        <v>73</v>
      </c>
      <c r="C75" s="44" t="s">
        <v>16</v>
      </c>
      <c r="D75" s="45" t="s">
        <v>20</v>
      </c>
      <c r="E75" s="46" t="s">
        <v>184</v>
      </c>
      <c r="F75" s="47" t="s">
        <v>185</v>
      </c>
    </row>
    <row r="76" spans="1:6">
      <c r="A76" s="92"/>
      <c r="B76" s="44">
        <v>74</v>
      </c>
      <c r="C76" s="44" t="s">
        <v>14</v>
      </c>
      <c r="D76" s="45">
        <v>2</v>
      </c>
      <c r="E76" s="46" t="s">
        <v>182</v>
      </c>
      <c r="F76" s="47" t="s">
        <v>206</v>
      </c>
    </row>
    <row r="77" spans="1:6" ht="15" thickBot="1">
      <c r="A77" s="93"/>
      <c r="B77" s="54">
        <v>75</v>
      </c>
      <c r="C77" s="54" t="s">
        <v>14</v>
      </c>
      <c r="D77" s="55">
        <v>2</v>
      </c>
      <c r="E77" s="56" t="s">
        <v>183</v>
      </c>
      <c r="F77" s="70" t="s">
        <v>206</v>
      </c>
    </row>
    <row r="78" spans="1:6">
      <c r="A78" s="91" t="s">
        <v>8</v>
      </c>
      <c r="B78" s="63">
        <v>76</v>
      </c>
      <c r="C78" s="63" t="s">
        <v>14</v>
      </c>
      <c r="D78" s="64">
        <v>1</v>
      </c>
      <c r="E78" s="65" t="s">
        <v>232</v>
      </c>
      <c r="F78" s="69" t="s">
        <v>231</v>
      </c>
    </row>
    <row r="79" spans="1:6">
      <c r="A79" s="92"/>
      <c r="B79" s="44">
        <v>77</v>
      </c>
      <c r="C79" s="44" t="s">
        <v>14</v>
      </c>
      <c r="D79" s="45">
        <v>5</v>
      </c>
      <c r="E79" s="46" t="s">
        <v>281</v>
      </c>
      <c r="F79" s="47" t="s">
        <v>282</v>
      </c>
    </row>
    <row r="80" spans="1:6">
      <c r="A80" s="92"/>
      <c r="B80" s="44">
        <v>78</v>
      </c>
      <c r="C80" s="44" t="s">
        <v>16</v>
      </c>
      <c r="D80" s="45" t="s">
        <v>20</v>
      </c>
      <c r="E80" s="46" t="s">
        <v>178</v>
      </c>
      <c r="F80" s="47" t="s">
        <v>282</v>
      </c>
    </row>
    <row r="81" spans="1:6" ht="28">
      <c r="A81" s="92"/>
      <c r="B81" s="44">
        <v>79</v>
      </c>
      <c r="C81" s="44" t="s">
        <v>16</v>
      </c>
      <c r="D81" s="45" t="s">
        <v>20</v>
      </c>
      <c r="E81" s="46" t="s">
        <v>295</v>
      </c>
      <c r="F81" s="47" t="s">
        <v>217</v>
      </c>
    </row>
    <row r="82" spans="1:6" ht="45.75" customHeight="1">
      <c r="A82" s="92"/>
      <c r="B82" s="44">
        <v>80</v>
      </c>
      <c r="C82" s="44" t="s">
        <v>16</v>
      </c>
      <c r="D82" s="45" t="s">
        <v>20</v>
      </c>
      <c r="E82" s="46" t="s">
        <v>215</v>
      </c>
      <c r="F82" s="47" t="s">
        <v>216</v>
      </c>
    </row>
    <row r="83" spans="1:6">
      <c r="A83" s="92"/>
      <c r="B83" s="44">
        <v>81</v>
      </c>
      <c r="C83" s="44" t="s">
        <v>16</v>
      </c>
      <c r="D83" s="45" t="s">
        <v>20</v>
      </c>
      <c r="E83" s="46" t="s">
        <v>218</v>
      </c>
      <c r="F83" s="50" t="s">
        <v>219</v>
      </c>
    </row>
    <row r="84" spans="1:6">
      <c r="A84" s="92"/>
      <c r="B84" s="44">
        <v>82</v>
      </c>
      <c r="C84" s="44" t="s">
        <v>16</v>
      </c>
      <c r="D84" s="45" t="s">
        <v>20</v>
      </c>
      <c r="E84" s="46" t="s">
        <v>165</v>
      </c>
      <c r="F84" s="47" t="s">
        <v>220</v>
      </c>
    </row>
    <row r="85" spans="1:6" ht="28">
      <c r="A85" s="92"/>
      <c r="B85" s="44">
        <v>83</v>
      </c>
      <c r="C85" s="44" t="s">
        <v>14</v>
      </c>
      <c r="D85" s="45">
        <v>5</v>
      </c>
      <c r="E85" s="46" t="s">
        <v>296</v>
      </c>
      <c r="F85" s="47" t="s">
        <v>220</v>
      </c>
    </row>
    <row r="86" spans="1:6" ht="28">
      <c r="A86" s="92"/>
      <c r="B86" s="44">
        <v>84</v>
      </c>
      <c r="C86" s="44" t="s">
        <v>16</v>
      </c>
      <c r="D86" s="45" t="s">
        <v>20</v>
      </c>
      <c r="E86" s="46" t="s">
        <v>172</v>
      </c>
      <c r="F86" s="47" t="s">
        <v>220</v>
      </c>
    </row>
    <row r="87" spans="1:6" ht="28">
      <c r="A87" s="92"/>
      <c r="B87" s="44">
        <v>85</v>
      </c>
      <c r="C87" s="44" t="s">
        <v>16</v>
      </c>
      <c r="D87" s="45" t="s">
        <v>20</v>
      </c>
      <c r="E87" s="46" t="s">
        <v>230</v>
      </c>
      <c r="F87" s="50" t="s">
        <v>219</v>
      </c>
    </row>
    <row r="88" spans="1:6" ht="28">
      <c r="A88" s="92"/>
      <c r="B88" s="44">
        <v>86</v>
      </c>
      <c r="C88" s="44" t="s">
        <v>16</v>
      </c>
      <c r="D88" s="45" t="s">
        <v>20</v>
      </c>
      <c r="E88" s="46" t="s">
        <v>297</v>
      </c>
      <c r="F88" s="47" t="s">
        <v>185</v>
      </c>
    </row>
    <row r="89" spans="1:6">
      <c r="A89" s="92"/>
      <c r="B89" s="44">
        <v>87</v>
      </c>
      <c r="C89" s="44" t="s">
        <v>16</v>
      </c>
      <c r="D89" s="45" t="s">
        <v>20</v>
      </c>
      <c r="E89" s="46" t="s">
        <v>210</v>
      </c>
      <c r="F89" s="47" t="s">
        <v>211</v>
      </c>
    </row>
    <row r="90" spans="1:6">
      <c r="A90" s="92"/>
      <c r="B90" s="44">
        <v>88</v>
      </c>
      <c r="C90" s="44" t="s">
        <v>14</v>
      </c>
      <c r="D90" s="45" t="s">
        <v>20</v>
      </c>
      <c r="E90" s="46" t="s">
        <v>229</v>
      </c>
      <c r="F90" s="47" t="s">
        <v>167</v>
      </c>
    </row>
    <row r="91" spans="1:6" ht="29" thickBot="1">
      <c r="A91" s="93"/>
      <c r="B91" s="54">
        <v>89</v>
      </c>
      <c r="C91" s="54" t="s">
        <v>14</v>
      </c>
      <c r="D91" s="55">
        <v>3</v>
      </c>
      <c r="E91" s="56" t="s">
        <v>228</v>
      </c>
      <c r="F91" s="70" t="s">
        <v>185</v>
      </c>
    </row>
    <row r="92" spans="1:6">
      <c r="A92" s="94" t="s">
        <v>23</v>
      </c>
      <c r="B92" s="63">
        <v>90</v>
      </c>
      <c r="C92" s="65" t="s">
        <v>16</v>
      </c>
      <c r="D92" s="67" t="s">
        <v>20</v>
      </c>
      <c r="E92" s="65" t="s">
        <v>314</v>
      </c>
      <c r="F92" s="66" t="s">
        <v>283</v>
      </c>
    </row>
    <row r="93" spans="1:6">
      <c r="A93" s="95"/>
      <c r="B93" s="44">
        <v>91</v>
      </c>
      <c r="C93" s="46" t="s">
        <v>14</v>
      </c>
      <c r="D93" s="48">
        <v>5</v>
      </c>
      <c r="E93" s="46" t="s">
        <v>268</v>
      </c>
      <c r="F93" s="49" t="s">
        <v>284</v>
      </c>
    </row>
    <row r="94" spans="1:6">
      <c r="A94" s="95"/>
      <c r="B94" s="44">
        <v>92</v>
      </c>
      <c r="C94" s="46" t="s">
        <v>16</v>
      </c>
      <c r="D94" s="48" t="s">
        <v>20</v>
      </c>
      <c r="E94" s="46" t="s">
        <v>162</v>
      </c>
      <c r="F94" s="49" t="s">
        <v>286</v>
      </c>
    </row>
    <row r="95" spans="1:6" ht="28">
      <c r="A95" s="95"/>
      <c r="B95" s="44">
        <v>93</v>
      </c>
      <c r="C95" s="46" t="s">
        <v>14</v>
      </c>
      <c r="D95" s="48">
        <v>4</v>
      </c>
      <c r="E95" s="46" t="s">
        <v>298</v>
      </c>
      <c r="F95" s="49" t="s">
        <v>299</v>
      </c>
    </row>
    <row r="96" spans="1:6">
      <c r="A96" s="95"/>
      <c r="B96" s="44">
        <v>94</v>
      </c>
      <c r="C96" s="46" t="s">
        <v>16</v>
      </c>
      <c r="D96" s="48" t="s">
        <v>20</v>
      </c>
      <c r="E96" s="46" t="s">
        <v>285</v>
      </c>
      <c r="F96" s="49" t="s">
        <v>286</v>
      </c>
    </row>
    <row r="97" spans="1:6" ht="15" thickBot="1">
      <c r="A97" s="96"/>
      <c r="B97" s="54">
        <v>95</v>
      </c>
      <c r="C97" s="56" t="s">
        <v>16</v>
      </c>
      <c r="D97" s="68" t="s">
        <v>20</v>
      </c>
      <c r="E97" s="56" t="s">
        <v>163</v>
      </c>
      <c r="F97" s="57" t="s">
        <v>287</v>
      </c>
    </row>
    <row r="98" spans="1:6">
      <c r="A98" s="91" t="s">
        <v>11</v>
      </c>
      <c r="B98" s="63">
        <v>96</v>
      </c>
      <c r="C98" s="63" t="s">
        <v>14</v>
      </c>
      <c r="D98" s="64">
        <v>4</v>
      </c>
      <c r="E98" s="65" t="s">
        <v>301</v>
      </c>
      <c r="F98" s="66" t="s">
        <v>286</v>
      </c>
    </row>
    <row r="99" spans="1:6">
      <c r="A99" s="92"/>
      <c r="B99" s="44">
        <v>97</v>
      </c>
      <c r="C99" s="46" t="s">
        <v>16</v>
      </c>
      <c r="D99" s="48" t="s">
        <v>20</v>
      </c>
      <c r="E99" s="46" t="s">
        <v>302</v>
      </c>
      <c r="F99" s="49" t="s">
        <v>286</v>
      </c>
    </row>
    <row r="100" spans="1:6">
      <c r="A100" s="92"/>
      <c r="B100" s="44">
        <v>98</v>
      </c>
      <c r="C100" s="44" t="s">
        <v>14</v>
      </c>
      <c r="D100" s="45">
        <v>5</v>
      </c>
      <c r="E100" s="46" t="s">
        <v>300</v>
      </c>
      <c r="F100" s="49" t="s">
        <v>286</v>
      </c>
    </row>
    <row r="101" spans="1:6" ht="15" thickBot="1">
      <c r="A101" s="93"/>
      <c r="B101" s="54">
        <v>99</v>
      </c>
      <c r="C101" s="54" t="s">
        <v>16</v>
      </c>
      <c r="D101" s="55" t="s">
        <v>20</v>
      </c>
      <c r="E101" s="56" t="s">
        <v>160</v>
      </c>
      <c r="F101" s="57" t="s">
        <v>288</v>
      </c>
    </row>
  </sheetData>
  <autoFilter ref="B2:F101">
    <sortState ref="B3:F101">
      <sortCondition ref="B2:B101"/>
    </sortState>
  </autoFilter>
  <mergeCells count="11">
    <mergeCell ref="A1:F1"/>
    <mergeCell ref="A3:A16"/>
    <mergeCell ref="A17:A36"/>
    <mergeCell ref="A37:A45"/>
    <mergeCell ref="A46:A53"/>
    <mergeCell ref="A98:A101"/>
    <mergeCell ref="A54:A62"/>
    <mergeCell ref="A63:A70"/>
    <mergeCell ref="A71:A77"/>
    <mergeCell ref="A78:A91"/>
    <mergeCell ref="A92:A97"/>
  </mergeCells>
  <phoneticPr fontId="6" type="noConversion"/>
  <hyperlinks>
    <hyperlink ref="F41" r:id="rId1"/>
    <hyperlink ref="F40" r:id="rId2"/>
    <hyperlink ref="F83" r:id="rId3"/>
    <hyperlink ref="F87" r:id="rId4"/>
    <hyperlink ref="F10" r:id="rId5"/>
  </hyperlinks>
  <pageMargins left="0.70866141732283472" right="0.70866141732283472" top="0.74803149606299213" bottom="0.74803149606299213" header="0.31496062992125984" footer="0.31496062992125984"/>
  <pageSetup paperSize="9" scale="65" orientation="portrait" horizontalDpi="300" verticalDpi="300"/>
  <headerFooter>
    <oddFooter>Page &amp;P of &amp;N</oddFooter>
  </headerFooter>
  <colBreaks count="1" manualBreakCount="1">
    <brk id="6" max="128" man="1"/>
  </colBreaks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workbookViewId="0">
      <pane xSplit="1" topLeftCell="B1" activePane="topRight" state="frozen"/>
      <selection pane="topRight" activeCell="C16" sqref="C16"/>
    </sheetView>
  </sheetViews>
  <sheetFormatPr baseColWidth="10" defaultColWidth="8.83203125" defaultRowHeight="14" x14ac:dyDescent="0"/>
  <cols>
    <col min="1" max="1" width="14" customWidth="1"/>
    <col min="2" max="2" width="34.6640625" customWidth="1"/>
    <col min="3" max="3" width="40.6640625" customWidth="1"/>
    <col min="4" max="4" width="31.5" customWidth="1"/>
    <col min="5" max="5" width="14" customWidth="1"/>
    <col min="6" max="6" width="16.5" customWidth="1"/>
    <col min="7" max="7" width="28.33203125" customWidth="1"/>
  </cols>
  <sheetData>
    <row r="1" spans="1:7" ht="36.75" customHeight="1">
      <c r="B1" s="79" t="s">
        <v>358</v>
      </c>
    </row>
    <row r="2" spans="1:7">
      <c r="A2" s="77" t="s">
        <v>336</v>
      </c>
    </row>
    <row r="3" spans="1:7">
      <c r="A3" s="77" t="s">
        <v>337</v>
      </c>
    </row>
    <row r="4" spans="1:7">
      <c r="A4" s="1" t="s">
        <v>318</v>
      </c>
      <c r="B4" t="s">
        <v>317</v>
      </c>
      <c r="C4" t="s">
        <v>327</v>
      </c>
      <c r="D4" s="101" t="s">
        <v>334</v>
      </c>
      <c r="E4" s="101"/>
      <c r="F4" s="101"/>
      <c r="G4" t="s">
        <v>352</v>
      </c>
    </row>
    <row r="5" spans="1:7">
      <c r="A5" s="1" t="s">
        <v>330</v>
      </c>
      <c r="B5" t="s">
        <v>331</v>
      </c>
      <c r="C5" t="s">
        <v>332</v>
      </c>
      <c r="D5" s="101" t="s">
        <v>333</v>
      </c>
      <c r="E5" s="101"/>
      <c r="F5" s="101"/>
      <c r="G5" t="s">
        <v>352</v>
      </c>
    </row>
    <row r="6" spans="1:7">
      <c r="A6" s="1" t="s">
        <v>321</v>
      </c>
      <c r="B6" t="s">
        <v>323</v>
      </c>
      <c r="C6" t="s">
        <v>323</v>
      </c>
      <c r="D6" s="101" t="s">
        <v>335</v>
      </c>
      <c r="E6" s="101"/>
      <c r="F6" s="101"/>
      <c r="G6" t="s">
        <v>354</v>
      </c>
    </row>
    <row r="7" spans="1:7">
      <c r="A7" s="1" t="s">
        <v>320</v>
      </c>
      <c r="B7" t="s">
        <v>322</v>
      </c>
      <c r="C7" t="s">
        <v>328</v>
      </c>
      <c r="D7" t="s">
        <v>350</v>
      </c>
      <c r="E7" t="s">
        <v>351</v>
      </c>
      <c r="F7" t="s">
        <v>345</v>
      </c>
      <c r="G7" t="s">
        <v>353</v>
      </c>
    </row>
    <row r="8" spans="1:7" ht="56">
      <c r="A8" s="1" t="s">
        <v>324</v>
      </c>
      <c r="B8" s="3" t="s">
        <v>338</v>
      </c>
      <c r="C8" s="3" t="s">
        <v>339</v>
      </c>
      <c r="D8" s="3" t="s">
        <v>342</v>
      </c>
      <c r="E8" s="3" t="s">
        <v>349</v>
      </c>
      <c r="F8" s="3" t="s">
        <v>346</v>
      </c>
      <c r="G8" s="3" t="s">
        <v>355</v>
      </c>
    </row>
    <row r="9" spans="1:7">
      <c r="A9" s="1" t="s">
        <v>325</v>
      </c>
      <c r="B9" s="2">
        <v>22.5</v>
      </c>
      <c r="C9" t="s">
        <v>329</v>
      </c>
      <c r="D9" s="2">
        <v>22.5</v>
      </c>
      <c r="E9" s="78">
        <v>22.5</v>
      </c>
      <c r="F9" t="s">
        <v>347</v>
      </c>
      <c r="G9" t="s">
        <v>356</v>
      </c>
    </row>
    <row r="10" spans="1:7">
      <c r="A10" s="1" t="s">
        <v>326</v>
      </c>
      <c r="B10" s="2">
        <v>180</v>
      </c>
      <c r="C10" s="2">
        <v>200</v>
      </c>
      <c r="D10" s="2">
        <v>180</v>
      </c>
      <c r="E10" s="2">
        <v>600</v>
      </c>
      <c r="F10" t="s">
        <v>347</v>
      </c>
      <c r="G10" t="s">
        <v>347</v>
      </c>
    </row>
    <row r="11" spans="1:7" ht="56">
      <c r="A11" s="1" t="s">
        <v>319</v>
      </c>
      <c r="B11" s="3" t="s">
        <v>340</v>
      </c>
      <c r="C11" s="3" t="s">
        <v>341</v>
      </c>
      <c r="D11" s="3" t="s">
        <v>343</v>
      </c>
      <c r="E11" s="3" t="s">
        <v>344</v>
      </c>
      <c r="F11" s="3" t="s">
        <v>348</v>
      </c>
      <c r="G11" s="3" t="s">
        <v>357</v>
      </c>
    </row>
  </sheetData>
  <mergeCells count="3">
    <mergeCell ref="D4:F4"/>
    <mergeCell ref="D5:F5"/>
    <mergeCell ref="D6:F6"/>
  </mergeCells>
  <pageMargins left="0.7" right="0.7" top="0.75" bottom="0.75" header="0.3" footer="0.3"/>
  <pageSetup paperSize="9" orientation="portrait" verticalDpi="300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2"/>
  <sheetViews>
    <sheetView workbookViewId="0">
      <selection activeCell="M24" sqref="M24"/>
    </sheetView>
  </sheetViews>
  <sheetFormatPr baseColWidth="10" defaultColWidth="8.83203125" defaultRowHeight="14" x14ac:dyDescent="0"/>
  <cols>
    <col min="1" max="1" width="19.33203125" style="82" bestFit="1" customWidth="1"/>
    <col min="2" max="2" width="19.83203125" customWidth="1"/>
    <col min="3" max="3" width="14" hidden="1" customWidth="1"/>
    <col min="4" max="4" width="12.33203125" hidden="1" customWidth="1"/>
    <col min="5" max="6" width="10.6640625" style="90" customWidth="1"/>
    <col min="9" max="9" width="33.33203125" style="3" hidden="1" customWidth="1"/>
  </cols>
  <sheetData>
    <row r="1" spans="1:20" s="83" customFormat="1">
      <c r="A1" s="104" t="s">
        <v>2</v>
      </c>
      <c r="B1" s="104" t="s">
        <v>402</v>
      </c>
      <c r="C1" s="104" t="s">
        <v>403</v>
      </c>
      <c r="D1" s="104" t="s">
        <v>404</v>
      </c>
      <c r="E1" s="105" t="s">
        <v>405</v>
      </c>
      <c r="F1" s="105"/>
      <c r="G1" s="104" t="s">
        <v>445</v>
      </c>
      <c r="H1" s="104"/>
      <c r="I1" s="102" t="s">
        <v>259</v>
      </c>
    </row>
    <row r="2" spans="1:20" s="42" customFormat="1">
      <c r="A2" s="104"/>
      <c r="B2" s="104"/>
      <c r="C2" s="104"/>
      <c r="D2" s="104"/>
      <c r="E2" s="87" t="s">
        <v>407</v>
      </c>
      <c r="F2" s="87" t="s">
        <v>406</v>
      </c>
      <c r="G2" s="84" t="s">
        <v>49</v>
      </c>
      <c r="H2" s="84" t="s">
        <v>50</v>
      </c>
      <c r="I2" s="102"/>
    </row>
    <row r="3" spans="1:20">
      <c r="A3" s="103" t="s">
        <v>394</v>
      </c>
      <c r="B3" s="44" t="s">
        <v>140</v>
      </c>
      <c r="C3" s="44"/>
      <c r="D3" s="44"/>
      <c r="E3" s="88">
        <v>160</v>
      </c>
      <c r="F3" s="88">
        <v>1600</v>
      </c>
      <c r="G3" s="86">
        <v>10</v>
      </c>
      <c r="H3" s="86">
        <v>16</v>
      </c>
      <c r="I3" s="46"/>
    </row>
    <row r="4" spans="1:20">
      <c r="A4" s="103"/>
      <c r="B4" s="44" t="s">
        <v>398</v>
      </c>
      <c r="C4" s="44"/>
      <c r="D4" s="44"/>
      <c r="E4" s="88">
        <v>120</v>
      </c>
      <c r="F4" s="88">
        <v>9000</v>
      </c>
      <c r="G4" s="86">
        <v>10</v>
      </c>
      <c r="H4" s="86">
        <v>18</v>
      </c>
      <c r="I4" s="46"/>
      <c r="M4" t="s">
        <v>394</v>
      </c>
      <c r="N4" t="s">
        <v>395</v>
      </c>
      <c r="O4" t="s">
        <v>396</v>
      </c>
      <c r="P4" t="s">
        <v>427</v>
      </c>
      <c r="Q4" t="s">
        <v>397</v>
      </c>
      <c r="R4" t="s">
        <v>466</v>
      </c>
      <c r="S4" t="s">
        <v>467</v>
      </c>
      <c r="T4" t="s">
        <v>468</v>
      </c>
    </row>
    <row r="5" spans="1:20">
      <c r="A5" s="103"/>
      <c r="B5" s="44" t="s">
        <v>153</v>
      </c>
      <c r="C5" s="44"/>
      <c r="D5" s="44"/>
      <c r="E5" s="88"/>
      <c r="F5" s="88"/>
      <c r="G5" s="86"/>
      <c r="H5" s="86"/>
      <c r="I5" s="46"/>
      <c r="M5" s="44" t="s">
        <v>140</v>
      </c>
      <c r="N5" s="44" t="s">
        <v>408</v>
      </c>
      <c r="O5" s="44" t="s">
        <v>414</v>
      </c>
      <c r="P5" s="44" t="s">
        <v>433</v>
      </c>
      <c r="Q5" s="44" t="s">
        <v>437</v>
      </c>
    </row>
    <row r="6" spans="1:20">
      <c r="A6" s="103"/>
      <c r="B6" s="44" t="s">
        <v>399</v>
      </c>
      <c r="C6" s="44"/>
      <c r="D6" s="44"/>
      <c r="E6" s="88"/>
      <c r="F6" s="88"/>
      <c r="G6" s="86"/>
      <c r="H6" s="86"/>
      <c r="I6" s="46"/>
      <c r="M6" s="44" t="s">
        <v>398</v>
      </c>
      <c r="N6" s="44" t="s">
        <v>409</v>
      </c>
      <c r="O6" s="44" t="s">
        <v>418</v>
      </c>
      <c r="P6" s="44" t="s">
        <v>434</v>
      </c>
      <c r="Q6" s="44" t="s">
        <v>438</v>
      </c>
    </row>
    <row r="7" spans="1:20">
      <c r="A7" s="103"/>
      <c r="B7" s="44" t="s">
        <v>400</v>
      </c>
      <c r="C7" s="44"/>
      <c r="D7" s="44"/>
      <c r="E7" s="88"/>
      <c r="F7" s="88"/>
      <c r="G7" s="86"/>
      <c r="H7" s="86"/>
      <c r="I7" s="46"/>
      <c r="M7" s="44" t="s">
        <v>153</v>
      </c>
      <c r="N7" s="44" t="s">
        <v>386</v>
      </c>
      <c r="O7" s="44" t="s">
        <v>419</v>
      </c>
      <c r="P7" s="44" t="s">
        <v>428</v>
      </c>
      <c r="Q7" s="44" t="s">
        <v>439</v>
      </c>
    </row>
    <row r="8" spans="1:20">
      <c r="A8" s="103"/>
      <c r="B8" s="44" t="s">
        <v>401</v>
      </c>
      <c r="C8" s="44"/>
      <c r="D8" s="44"/>
      <c r="E8" s="88"/>
      <c r="F8" s="88"/>
      <c r="G8" s="86"/>
      <c r="H8" s="86"/>
      <c r="I8" s="46"/>
      <c r="M8" s="44" t="s">
        <v>399</v>
      </c>
      <c r="N8" s="44" t="s">
        <v>415</v>
      </c>
      <c r="O8" s="44" t="s">
        <v>420</v>
      </c>
      <c r="P8" s="44" t="s">
        <v>429</v>
      </c>
      <c r="Q8" s="44" t="s">
        <v>440</v>
      </c>
    </row>
    <row r="9" spans="1:20">
      <c r="A9" s="103" t="s">
        <v>395</v>
      </c>
      <c r="B9" s="44" t="s">
        <v>408</v>
      </c>
      <c r="C9" s="44"/>
      <c r="D9" s="44"/>
      <c r="E9" s="88"/>
      <c r="F9" s="88"/>
      <c r="G9" s="86"/>
      <c r="H9" s="86"/>
      <c r="I9" s="46"/>
      <c r="M9" s="44" t="s">
        <v>400</v>
      </c>
      <c r="N9" s="44" t="s">
        <v>410</v>
      </c>
      <c r="O9" s="44" t="s">
        <v>421</v>
      </c>
      <c r="P9" s="44" t="s">
        <v>430</v>
      </c>
      <c r="Q9" s="44" t="s">
        <v>441</v>
      </c>
    </row>
    <row r="10" spans="1:20">
      <c r="A10" s="103"/>
      <c r="B10" s="44" t="s">
        <v>409</v>
      </c>
      <c r="C10" s="44"/>
      <c r="D10" s="44"/>
      <c r="E10" s="89"/>
      <c r="F10" s="89"/>
      <c r="G10" s="44"/>
      <c r="H10" s="44"/>
      <c r="I10" s="46"/>
      <c r="M10" s="44" t="s">
        <v>401</v>
      </c>
      <c r="N10" s="44" t="s">
        <v>411</v>
      </c>
      <c r="O10" s="44" t="s">
        <v>422</v>
      </c>
      <c r="P10" s="44" t="s">
        <v>431</v>
      </c>
      <c r="Q10" s="44" t="s">
        <v>442</v>
      </c>
    </row>
    <row r="11" spans="1:20">
      <c r="A11" s="103"/>
      <c r="B11" s="44" t="s">
        <v>386</v>
      </c>
      <c r="C11" s="44"/>
      <c r="D11" s="44"/>
      <c r="E11" s="89"/>
      <c r="F11" s="89"/>
      <c r="G11" s="44"/>
      <c r="H11" s="44"/>
      <c r="I11" s="46"/>
      <c r="N11" s="44" t="s">
        <v>413</v>
      </c>
      <c r="O11" s="44" t="s">
        <v>423</v>
      </c>
      <c r="P11" s="110" t="s">
        <v>432</v>
      </c>
      <c r="Q11" s="85" t="s">
        <v>465</v>
      </c>
    </row>
    <row r="12" spans="1:20">
      <c r="A12" s="103"/>
      <c r="B12" s="44" t="s">
        <v>415</v>
      </c>
      <c r="C12" s="44"/>
      <c r="D12" s="44"/>
      <c r="E12" s="89"/>
      <c r="F12" s="89"/>
      <c r="G12" s="44"/>
      <c r="H12" s="44"/>
      <c r="I12" s="46"/>
      <c r="N12" s="44" t="s">
        <v>416</v>
      </c>
      <c r="O12" s="44" t="s">
        <v>424</v>
      </c>
      <c r="P12" s="44" t="s">
        <v>436</v>
      </c>
    </row>
    <row r="13" spans="1:20">
      <c r="A13" s="103"/>
      <c r="B13" s="44" t="s">
        <v>410</v>
      </c>
      <c r="C13" s="44"/>
      <c r="D13" s="44"/>
      <c r="E13" s="89"/>
      <c r="F13" s="89"/>
      <c r="G13" s="44" t="s">
        <v>20</v>
      </c>
      <c r="H13" s="44" t="s">
        <v>20</v>
      </c>
      <c r="I13" s="46"/>
      <c r="K13" s="82"/>
      <c r="N13" s="44" t="s">
        <v>417</v>
      </c>
      <c r="O13" s="44" t="s">
        <v>425</v>
      </c>
    </row>
    <row r="14" spans="1:20">
      <c r="A14" s="103"/>
      <c r="B14" s="44" t="s">
        <v>411</v>
      </c>
      <c r="C14" s="44"/>
      <c r="D14" s="44"/>
      <c r="E14" s="89"/>
      <c r="F14" s="89"/>
      <c r="G14" s="44" t="s">
        <v>20</v>
      </c>
      <c r="H14" s="44" t="s">
        <v>20</v>
      </c>
      <c r="I14" s="46"/>
      <c r="O14" s="44" t="s">
        <v>426</v>
      </c>
    </row>
    <row r="15" spans="1:20">
      <c r="A15" s="103"/>
      <c r="B15" s="44" t="s">
        <v>413</v>
      </c>
      <c r="C15" s="44"/>
      <c r="D15" s="44"/>
      <c r="E15" s="89"/>
      <c r="F15" s="89"/>
      <c r="G15" s="44" t="s">
        <v>20</v>
      </c>
      <c r="H15" s="44" t="s">
        <v>20</v>
      </c>
      <c r="I15" s="46" t="s">
        <v>412</v>
      </c>
      <c r="O15" s="85" t="s">
        <v>443</v>
      </c>
    </row>
    <row r="16" spans="1:20">
      <c r="A16" s="103"/>
      <c r="B16" s="44" t="s">
        <v>416</v>
      </c>
      <c r="C16" s="44"/>
      <c r="D16" s="44"/>
      <c r="E16" s="89"/>
      <c r="F16" s="89"/>
      <c r="G16" s="44" t="s">
        <v>20</v>
      </c>
      <c r="H16" s="44" t="s">
        <v>20</v>
      </c>
      <c r="I16" s="46"/>
    </row>
    <row r="17" spans="1:9">
      <c r="A17" s="103"/>
      <c r="B17" s="44" t="s">
        <v>417</v>
      </c>
      <c r="C17" s="44"/>
      <c r="D17" s="44"/>
      <c r="E17" s="89"/>
      <c r="F17" s="89"/>
      <c r="G17" s="44"/>
      <c r="H17" s="44"/>
      <c r="I17" s="46"/>
    </row>
    <row r="18" spans="1:9">
      <c r="A18" s="103" t="s">
        <v>396</v>
      </c>
      <c r="B18" s="44" t="s">
        <v>414</v>
      </c>
      <c r="C18" s="44"/>
      <c r="D18" s="44"/>
      <c r="E18" s="89"/>
      <c r="F18" s="89"/>
      <c r="G18" s="44"/>
      <c r="H18" s="44"/>
      <c r="I18" s="46"/>
    </row>
    <row r="19" spans="1:9">
      <c r="A19" s="103"/>
      <c r="B19" s="44" t="s">
        <v>418</v>
      </c>
      <c r="C19" s="44"/>
      <c r="D19" s="44"/>
      <c r="E19" s="89"/>
      <c r="F19" s="89"/>
      <c r="G19" s="44"/>
      <c r="H19" s="44"/>
      <c r="I19" s="46"/>
    </row>
    <row r="20" spans="1:9">
      <c r="A20" s="103"/>
      <c r="B20" s="44" t="s">
        <v>419</v>
      </c>
      <c r="C20" s="44"/>
      <c r="D20" s="44"/>
      <c r="E20" s="89"/>
      <c r="F20" s="89"/>
      <c r="G20" s="44"/>
      <c r="H20" s="44"/>
      <c r="I20" s="46"/>
    </row>
    <row r="21" spans="1:9">
      <c r="A21" s="103"/>
      <c r="B21" s="44" t="s">
        <v>420</v>
      </c>
      <c r="C21" s="44"/>
      <c r="D21" s="44"/>
      <c r="E21" s="89"/>
      <c r="F21" s="89"/>
      <c r="G21" s="44"/>
      <c r="H21" s="44"/>
      <c r="I21" s="46"/>
    </row>
    <row r="22" spans="1:9">
      <c r="A22" s="103"/>
      <c r="B22" s="44" t="s">
        <v>421</v>
      </c>
      <c r="C22" s="44"/>
      <c r="D22" s="44"/>
      <c r="E22" s="89"/>
      <c r="F22" s="89"/>
      <c r="G22" s="44"/>
      <c r="H22" s="44"/>
      <c r="I22" s="46"/>
    </row>
    <row r="23" spans="1:9">
      <c r="A23" s="103"/>
      <c r="B23" s="44" t="s">
        <v>422</v>
      </c>
      <c r="C23" s="44"/>
      <c r="D23" s="44"/>
      <c r="E23" s="89"/>
      <c r="F23" s="89"/>
      <c r="G23" s="44"/>
      <c r="H23" s="44"/>
      <c r="I23" s="46"/>
    </row>
    <row r="24" spans="1:9">
      <c r="A24" s="103"/>
      <c r="B24" s="44" t="s">
        <v>423</v>
      </c>
      <c r="C24" s="44"/>
      <c r="D24" s="44"/>
      <c r="E24" s="89"/>
      <c r="F24" s="89"/>
      <c r="G24" s="44"/>
      <c r="H24" s="44"/>
      <c r="I24" s="46"/>
    </row>
    <row r="25" spans="1:9">
      <c r="A25" s="103"/>
      <c r="B25" s="44" t="s">
        <v>424</v>
      </c>
      <c r="C25" s="44"/>
      <c r="D25" s="44"/>
      <c r="E25" s="89"/>
      <c r="F25" s="89"/>
      <c r="G25" s="44"/>
      <c r="H25" s="44"/>
      <c r="I25" s="46"/>
    </row>
    <row r="26" spans="1:9">
      <c r="A26" s="103"/>
      <c r="B26" s="44" t="s">
        <v>425</v>
      </c>
      <c r="C26" s="44"/>
      <c r="D26" s="44"/>
      <c r="E26" s="89"/>
      <c r="F26" s="89"/>
      <c r="G26" s="44"/>
      <c r="H26" s="44"/>
      <c r="I26" s="46"/>
    </row>
    <row r="27" spans="1:9">
      <c r="A27" s="103"/>
      <c r="B27" s="44" t="s">
        <v>426</v>
      </c>
      <c r="C27" s="44"/>
      <c r="D27" s="44"/>
      <c r="E27" s="89"/>
      <c r="F27" s="89"/>
      <c r="G27" s="44"/>
      <c r="H27" s="44"/>
      <c r="I27" s="46"/>
    </row>
    <row r="28" spans="1:9" ht="28">
      <c r="A28" s="103"/>
      <c r="B28" s="85" t="s">
        <v>443</v>
      </c>
      <c r="C28" s="44"/>
      <c r="D28" s="44"/>
      <c r="E28" s="89"/>
      <c r="F28" s="89"/>
      <c r="G28" s="44" t="s">
        <v>20</v>
      </c>
      <c r="H28" s="44" t="s">
        <v>20</v>
      </c>
      <c r="I28" s="46" t="s">
        <v>444</v>
      </c>
    </row>
    <row r="29" spans="1:9">
      <c r="A29" s="103" t="s">
        <v>427</v>
      </c>
      <c r="B29" s="44" t="s">
        <v>433</v>
      </c>
      <c r="C29" s="44"/>
      <c r="D29" s="44"/>
      <c r="E29" s="89"/>
      <c r="F29" s="89"/>
      <c r="G29" s="44"/>
      <c r="H29" s="44"/>
      <c r="I29" s="46" t="s">
        <v>435</v>
      </c>
    </row>
    <row r="30" spans="1:9">
      <c r="A30" s="103"/>
      <c r="B30" s="44" t="s">
        <v>434</v>
      </c>
      <c r="C30" s="44"/>
      <c r="D30" s="44"/>
      <c r="E30" s="89"/>
      <c r="F30" s="89"/>
      <c r="G30" s="44"/>
      <c r="H30" s="44"/>
      <c r="I30" s="46" t="s">
        <v>435</v>
      </c>
    </row>
    <row r="31" spans="1:9">
      <c r="A31" s="103"/>
      <c r="B31" s="44" t="s">
        <v>428</v>
      </c>
      <c r="C31" s="44"/>
      <c r="D31" s="44"/>
      <c r="E31" s="89"/>
      <c r="F31" s="89"/>
      <c r="G31" s="44"/>
      <c r="H31" s="44"/>
      <c r="I31" s="46"/>
    </row>
    <row r="32" spans="1:9">
      <c r="A32" s="103"/>
      <c r="B32" s="44" t="s">
        <v>429</v>
      </c>
      <c r="C32" s="44"/>
      <c r="D32" s="44"/>
      <c r="E32" s="89"/>
      <c r="F32" s="89"/>
      <c r="G32" s="44"/>
      <c r="H32" s="44"/>
      <c r="I32" s="46"/>
    </row>
    <row r="33" spans="1:9">
      <c r="A33" s="103"/>
      <c r="B33" s="44" t="s">
        <v>430</v>
      </c>
      <c r="C33" s="44"/>
      <c r="D33" s="44"/>
      <c r="E33" s="89"/>
      <c r="F33" s="89"/>
      <c r="G33" s="44"/>
      <c r="H33" s="44"/>
      <c r="I33" s="46"/>
    </row>
    <row r="34" spans="1:9">
      <c r="A34" s="103"/>
      <c r="B34" s="44" t="s">
        <v>431</v>
      </c>
      <c r="C34" s="44"/>
      <c r="D34" s="44"/>
      <c r="E34" s="89"/>
      <c r="F34" s="89"/>
      <c r="G34" s="44" t="s">
        <v>20</v>
      </c>
      <c r="H34" s="44" t="s">
        <v>20</v>
      </c>
      <c r="I34" s="46"/>
    </row>
    <row r="35" spans="1:9" ht="28">
      <c r="A35" s="103"/>
      <c r="B35" s="46" t="s">
        <v>432</v>
      </c>
      <c r="C35" s="44"/>
      <c r="D35" s="44"/>
      <c r="E35" s="89"/>
      <c r="F35" s="89"/>
      <c r="G35" s="44"/>
      <c r="H35" s="44"/>
      <c r="I35" s="46"/>
    </row>
    <row r="36" spans="1:9">
      <c r="A36" s="103"/>
      <c r="B36" s="44" t="s">
        <v>436</v>
      </c>
      <c r="C36" s="44"/>
      <c r="D36" s="44"/>
      <c r="E36" s="89"/>
      <c r="F36" s="89"/>
      <c r="G36" s="44"/>
      <c r="H36" s="44"/>
      <c r="I36" s="46"/>
    </row>
    <row r="37" spans="1:9">
      <c r="A37" s="103" t="s">
        <v>397</v>
      </c>
      <c r="B37" s="44" t="s">
        <v>437</v>
      </c>
      <c r="C37" s="44"/>
      <c r="D37" s="44"/>
      <c r="E37" s="89"/>
      <c r="F37" s="89"/>
      <c r="G37" s="44"/>
      <c r="H37" s="44"/>
      <c r="I37" s="46"/>
    </row>
    <row r="38" spans="1:9">
      <c r="A38" s="103"/>
      <c r="B38" s="44" t="s">
        <v>438</v>
      </c>
      <c r="C38" s="44"/>
      <c r="D38" s="44"/>
      <c r="E38" s="89"/>
      <c r="F38" s="89"/>
      <c r="G38" s="44"/>
      <c r="H38" s="44"/>
      <c r="I38" s="46"/>
    </row>
    <row r="39" spans="1:9">
      <c r="A39" s="103"/>
      <c r="B39" s="44" t="s">
        <v>439</v>
      </c>
      <c r="C39" s="44"/>
      <c r="D39" s="44"/>
      <c r="E39" s="89"/>
      <c r="F39" s="89"/>
      <c r="G39" s="44"/>
      <c r="H39" s="44"/>
      <c r="I39" s="46"/>
    </row>
    <row r="40" spans="1:9">
      <c r="A40" s="103"/>
      <c r="B40" s="44" t="s">
        <v>440</v>
      </c>
      <c r="C40" s="44"/>
      <c r="D40" s="44"/>
      <c r="E40" s="89"/>
      <c r="F40" s="89"/>
      <c r="G40" s="44"/>
      <c r="H40" s="44"/>
      <c r="I40" s="46"/>
    </row>
    <row r="41" spans="1:9">
      <c r="A41" s="103"/>
      <c r="B41" s="44" t="s">
        <v>441</v>
      </c>
      <c r="C41" s="44"/>
      <c r="D41" s="44"/>
      <c r="E41" s="89"/>
      <c r="F41" s="89"/>
      <c r="G41" s="44"/>
      <c r="H41" s="44"/>
      <c r="I41" s="46"/>
    </row>
    <row r="42" spans="1:9">
      <c r="A42" s="103"/>
      <c r="B42" s="44" t="s">
        <v>442</v>
      </c>
      <c r="C42" s="44"/>
      <c r="D42" s="44"/>
      <c r="E42" s="89"/>
      <c r="F42" s="89"/>
      <c r="G42" s="44"/>
      <c r="H42" s="44"/>
      <c r="I42" s="46"/>
    </row>
  </sheetData>
  <mergeCells count="12">
    <mergeCell ref="I1:I2"/>
    <mergeCell ref="A37:A42"/>
    <mergeCell ref="A1:A2"/>
    <mergeCell ref="B1:B2"/>
    <mergeCell ref="C1:C2"/>
    <mergeCell ref="A3:A8"/>
    <mergeCell ref="E1:F1"/>
    <mergeCell ref="G1:H1"/>
    <mergeCell ref="A9:A17"/>
    <mergeCell ref="A18:A28"/>
    <mergeCell ref="A29:A36"/>
    <mergeCell ref="D1:D2"/>
  </mergeCells>
  <pageMargins left="0.7" right="0.7" top="0.75" bottom="0.75" header="0.3" footer="0.3"/>
  <pageSetup paperSize="9"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87"/>
  <sheetViews>
    <sheetView tabSelected="1" zoomScale="115" zoomScaleNormal="115" zoomScalePageLayoutView="115" workbookViewId="0">
      <selection activeCell="L8" sqref="L8"/>
    </sheetView>
  </sheetViews>
  <sheetFormatPr baseColWidth="10" defaultColWidth="8.83203125" defaultRowHeight="14" x14ac:dyDescent="0"/>
  <cols>
    <col min="6" max="6" width="8.33203125" customWidth="1"/>
    <col min="8" max="8" width="25.83203125" customWidth="1"/>
    <col min="9" max="9" width="14" bestFit="1" customWidth="1"/>
    <col min="10" max="10" width="14.5" bestFit="1" customWidth="1"/>
    <col min="12" max="12" width="10.6640625" bestFit="1" customWidth="1"/>
    <col min="16" max="16" width="9.83203125" bestFit="1" customWidth="1"/>
    <col min="17" max="17" width="0" hidden="1" customWidth="1"/>
    <col min="18" max="18" width="11.83203125" bestFit="1" customWidth="1"/>
  </cols>
  <sheetData>
    <row r="2" spans="2:18">
      <c r="B2" t="s">
        <v>57</v>
      </c>
      <c r="I2" s="25" t="s">
        <v>151</v>
      </c>
      <c r="J2" s="19" t="s">
        <v>47</v>
      </c>
      <c r="K2" s="19" t="s">
        <v>48</v>
      </c>
      <c r="L2" s="26" t="s">
        <v>141</v>
      </c>
      <c r="M2" s="26" t="s">
        <v>142</v>
      </c>
      <c r="N2" s="26" t="s">
        <v>143</v>
      </c>
      <c r="O2" s="26" t="s">
        <v>144</v>
      </c>
      <c r="P2" s="26" t="s">
        <v>145</v>
      </c>
      <c r="Q2" s="19"/>
      <c r="R2" s="19" t="s">
        <v>154</v>
      </c>
    </row>
    <row r="3" spans="2:18">
      <c r="C3" s="106" t="s">
        <v>46</v>
      </c>
      <c r="D3" s="106"/>
      <c r="I3" s="29" t="s">
        <v>152</v>
      </c>
      <c r="J3" s="30">
        <f>J61</f>
        <v>588</v>
      </c>
      <c r="K3" s="30">
        <f>J62</f>
        <v>411</v>
      </c>
      <c r="L3" s="31">
        <f>J58</f>
        <v>1110</v>
      </c>
      <c r="M3" s="31">
        <f>J57</f>
        <v>108.2</v>
      </c>
      <c r="N3" s="31">
        <f>J56</f>
        <v>42</v>
      </c>
      <c r="O3" s="31">
        <f>J60</f>
        <v>45</v>
      </c>
      <c r="P3" s="31">
        <f>J63</f>
        <v>691</v>
      </c>
      <c r="Q3" s="31"/>
      <c r="R3" s="31">
        <f>J66</f>
        <v>170</v>
      </c>
    </row>
    <row r="4" spans="2:18">
      <c r="B4" t="s">
        <v>45</v>
      </c>
      <c r="C4" t="s">
        <v>49</v>
      </c>
      <c r="D4" t="s">
        <v>50</v>
      </c>
      <c r="E4" t="s">
        <v>47</v>
      </c>
      <c r="F4" t="s">
        <v>48</v>
      </c>
      <c r="G4" t="s">
        <v>90</v>
      </c>
      <c r="I4" s="32" t="s">
        <v>140</v>
      </c>
      <c r="J4" s="33">
        <f>I33</f>
        <v>554</v>
      </c>
      <c r="K4" s="33">
        <f>I34</f>
        <v>388</v>
      </c>
      <c r="L4" s="34">
        <f>I26</f>
        <v>1053</v>
      </c>
      <c r="M4" s="34">
        <f>I32</f>
        <v>67</v>
      </c>
      <c r="N4" s="34">
        <f>I31</f>
        <v>55</v>
      </c>
      <c r="O4" s="34">
        <f>I29</f>
        <v>68</v>
      </c>
      <c r="P4" s="34">
        <f>I24</f>
        <v>690</v>
      </c>
      <c r="Q4" s="34"/>
      <c r="R4" s="34">
        <f>J47</f>
        <v>170</v>
      </c>
    </row>
    <row r="5" spans="2:18">
      <c r="B5" t="s">
        <v>54</v>
      </c>
      <c r="C5">
        <v>1470</v>
      </c>
      <c r="D5">
        <v>1600</v>
      </c>
      <c r="E5" s="8">
        <v>604</v>
      </c>
      <c r="F5">
        <v>382</v>
      </c>
      <c r="G5" s="8">
        <f t="shared" ref="G5:G10" si="0">SQRT(F5^2+E5^2)</f>
        <v>714.66075868204769</v>
      </c>
      <c r="I5" s="35" t="s">
        <v>153</v>
      </c>
      <c r="J5" s="36">
        <f>J81</f>
        <v>541</v>
      </c>
      <c r="K5" s="36">
        <f>J82</f>
        <v>375</v>
      </c>
      <c r="L5" s="37">
        <f>J78</f>
        <v>986</v>
      </c>
      <c r="M5" s="37">
        <f>J77</f>
        <v>61.9</v>
      </c>
      <c r="N5" s="37">
        <f>J76</f>
        <v>50</v>
      </c>
      <c r="O5" s="37">
        <f>J80</f>
        <v>75</v>
      </c>
      <c r="P5" s="37">
        <f>J83</f>
        <v>746</v>
      </c>
      <c r="Q5" s="37"/>
      <c r="R5" s="37">
        <f>J86</f>
        <v>170</v>
      </c>
    </row>
    <row r="6" spans="2:18">
      <c r="B6" s="12" t="s">
        <v>55</v>
      </c>
      <c r="C6" s="12">
        <v>1570</v>
      </c>
      <c r="D6" s="12">
        <v>1700</v>
      </c>
      <c r="E6" s="13">
        <v>615</v>
      </c>
      <c r="F6" s="12">
        <v>387</v>
      </c>
      <c r="G6" s="13">
        <f t="shared" si="0"/>
        <v>726.63195635754971</v>
      </c>
    </row>
    <row r="7" spans="2:18">
      <c r="B7" t="s">
        <v>56</v>
      </c>
      <c r="C7">
        <v>1670</v>
      </c>
      <c r="D7">
        <v>1800</v>
      </c>
      <c r="E7" s="8">
        <v>624</v>
      </c>
      <c r="F7">
        <v>399</v>
      </c>
      <c r="G7" s="8">
        <f t="shared" si="0"/>
        <v>740.65984095264673</v>
      </c>
      <c r="I7" s="25" t="s">
        <v>140</v>
      </c>
      <c r="J7" s="19" t="s">
        <v>47</v>
      </c>
      <c r="K7" s="19" t="s">
        <v>48</v>
      </c>
      <c r="L7" s="26" t="s">
        <v>141</v>
      </c>
      <c r="M7" s="26" t="s">
        <v>142</v>
      </c>
      <c r="N7" s="26" t="s">
        <v>143</v>
      </c>
      <c r="O7" s="26" t="s">
        <v>144</v>
      </c>
      <c r="P7" s="26" t="s">
        <v>145</v>
      </c>
      <c r="Q7" s="19"/>
      <c r="R7" s="19" t="s">
        <v>146</v>
      </c>
    </row>
    <row r="8" spans="2:18">
      <c r="B8" s="12" t="s">
        <v>51</v>
      </c>
      <c r="C8" s="12">
        <v>1600</v>
      </c>
      <c r="D8" s="12">
        <v>1720</v>
      </c>
      <c r="E8" s="13">
        <v>602</v>
      </c>
      <c r="F8" s="12">
        <v>391</v>
      </c>
      <c r="G8" s="13">
        <f t="shared" si="0"/>
        <v>717.83354616512599</v>
      </c>
      <c r="I8" s="22" t="s">
        <v>49</v>
      </c>
      <c r="J8" s="27">
        <f>MIN(E$5:E$10,C$14:C$19,C$23:C$27,C$31:C$35,C$39:C$43,C$47:C$49)</f>
        <v>524</v>
      </c>
      <c r="K8" s="27">
        <f>MIN(F$5:F$10,D$14:D$19,D$23:D$27,D$31:D$35,D$39:D$43,D$47:D$49)</f>
        <v>339</v>
      </c>
      <c r="L8" s="19">
        <f>MIN(I26:M26,I42:M42)</f>
        <v>1053</v>
      </c>
      <c r="M8" s="19">
        <f>MIN(I32:M32)</f>
        <v>67</v>
      </c>
      <c r="N8" s="19">
        <f>MIN(I31:M31)</f>
        <v>55</v>
      </c>
      <c r="O8" s="19">
        <f>MIN(I29:M29)</f>
        <v>68</v>
      </c>
      <c r="P8" s="19">
        <f>MIN(I46:M46)</f>
        <v>682</v>
      </c>
      <c r="Q8" s="19"/>
      <c r="R8" s="19">
        <f>MIN(I47:M47)</f>
        <v>170</v>
      </c>
    </row>
    <row r="9" spans="2:18">
      <c r="B9" t="s">
        <v>52</v>
      </c>
      <c r="C9">
        <v>1670</v>
      </c>
      <c r="D9">
        <v>1800</v>
      </c>
      <c r="E9" s="8">
        <v>625</v>
      </c>
      <c r="F9">
        <v>409</v>
      </c>
      <c r="G9" s="8">
        <f t="shared" si="0"/>
        <v>746.93105438186194</v>
      </c>
      <c r="I9" s="22" t="s">
        <v>50</v>
      </c>
      <c r="J9" s="27">
        <f>MAX(E$5:E$10,C$14:C$19,C$23:C$27,C$31:C$35,C$39:C$43,C$47:C$49)</f>
        <v>651</v>
      </c>
      <c r="K9" s="27">
        <f>MAX(F$5:F$10,D$14:D$19,D$23:D$27,D$31:D$35,D$39:D$43,D$47:D$49)</f>
        <v>426</v>
      </c>
      <c r="L9" s="19">
        <f>MAX(I26:M26,I42:M42)</f>
        <v>1120</v>
      </c>
      <c r="M9" s="19">
        <f>MAX(I32:M32)</f>
        <v>67</v>
      </c>
      <c r="N9" s="19">
        <f>MAX(I31:M31)</f>
        <v>55</v>
      </c>
      <c r="O9" s="19">
        <f>MAX(I29:M29)</f>
        <v>68</v>
      </c>
      <c r="P9" s="19">
        <f>MAX(I24:M24,I46:M46)</f>
        <v>852</v>
      </c>
      <c r="Q9" s="19"/>
      <c r="R9" s="19">
        <f>MAX(I47:M47)</f>
        <v>175</v>
      </c>
    </row>
    <row r="10" spans="2:18">
      <c r="B10" t="s">
        <v>53</v>
      </c>
      <c r="C10">
        <v>1750</v>
      </c>
      <c r="D10">
        <v>1880</v>
      </c>
      <c r="E10" s="8">
        <v>651</v>
      </c>
      <c r="F10">
        <v>426</v>
      </c>
      <c r="G10" s="8">
        <f t="shared" si="0"/>
        <v>777.99550127234022</v>
      </c>
      <c r="J10" s="28"/>
      <c r="K10" s="28"/>
    </row>
    <row r="11" spans="2:18">
      <c r="G11" s="8"/>
      <c r="I11" s="25" t="s">
        <v>147</v>
      </c>
      <c r="J11" s="27" t="s">
        <v>47</v>
      </c>
      <c r="K11" s="27" t="s">
        <v>48</v>
      </c>
      <c r="L11" s="26" t="s">
        <v>141</v>
      </c>
      <c r="M11" s="26" t="s">
        <v>142</v>
      </c>
      <c r="N11" s="26" t="s">
        <v>143</v>
      </c>
      <c r="O11" s="26" t="s">
        <v>144</v>
      </c>
      <c r="P11" s="26" t="s">
        <v>145</v>
      </c>
      <c r="Q11" s="19"/>
      <c r="R11" s="19" t="s">
        <v>146</v>
      </c>
    </row>
    <row r="12" spans="2:18">
      <c r="B12" t="s">
        <v>58</v>
      </c>
      <c r="G12" s="8"/>
      <c r="I12" s="22" t="s">
        <v>49</v>
      </c>
      <c r="J12" s="27">
        <f>MIN(E$5:E$10,C$14:C$19,C$23:C$27,C$31:C$35,C$39:C$43,C$47:C$49,I61:M61,I81:N81)</f>
        <v>524</v>
      </c>
      <c r="K12" s="27">
        <f>MIN(F$5:F$10,D$14:D$19,D$23:D$27,D$31:D$35,D$39:D$43,D$47:D$49,I62:M62,I82:N82)</f>
        <v>339</v>
      </c>
      <c r="L12" s="19">
        <f>MIN(I26:M26,I42:M42,I58:M58,I78:N78)</f>
        <v>985</v>
      </c>
      <c r="M12" s="19">
        <f>MIN(I32:M32,I57:M57,I77:N77)</f>
        <v>57.1</v>
      </c>
      <c r="N12" s="19">
        <f>MIN(I31:M31,I56:M56,I76:N76)</f>
        <v>42</v>
      </c>
      <c r="O12" s="19">
        <f>MIN(I29:M29,I60:M60,I80:N80)</f>
        <v>45</v>
      </c>
      <c r="P12" s="19">
        <f>MIN(I24:M24,I46:M46,I63:M63,I83:N83)</f>
        <v>667</v>
      </c>
      <c r="Q12" s="19"/>
      <c r="R12" s="19">
        <f>MIN(I47:M47,I66:M66,I86:N86)</f>
        <v>165</v>
      </c>
    </row>
    <row r="13" spans="2:18">
      <c r="B13" t="s">
        <v>45</v>
      </c>
      <c r="C13" t="s">
        <v>47</v>
      </c>
      <c r="D13" t="s">
        <v>48</v>
      </c>
      <c r="E13" t="s">
        <v>90</v>
      </c>
      <c r="G13" s="8"/>
      <c r="I13" s="22" t="s">
        <v>50</v>
      </c>
      <c r="J13" s="27">
        <f>MAX(E$5:E$10,C$14:C$19,C$23:C$27,C$31:C$35,C$39:C$43,C$47:C$49,I61:M61,I81:N81)</f>
        <v>651</v>
      </c>
      <c r="K13" s="27">
        <f>MAX(F$5:F$10,D$14:D$19,D$23:D$27,D$31:D$35,D$39:D$43,D$47:D$49,I62:M62,I82:N82)</f>
        <v>460</v>
      </c>
      <c r="L13" s="19">
        <f>MAX(I26:M26,I42:M42,I58:M58,I78:N78)</f>
        <v>1174</v>
      </c>
      <c r="M13" s="19">
        <f>MAX(I32:M32,I57:M57,I77:N77)</f>
        <v>108.2</v>
      </c>
      <c r="N13" s="19">
        <f>MAX(I31:M31,I56:M56,I76:N76)</f>
        <v>55</v>
      </c>
      <c r="O13" s="19">
        <f>MAX(I29:M29,I60:M60,I80:N80)</f>
        <v>75</v>
      </c>
      <c r="P13" s="19">
        <f>MAX(I24:M24,I46:M46,I63:M63,I83:N83)</f>
        <v>852</v>
      </c>
      <c r="Q13" s="19"/>
      <c r="R13" s="19">
        <f>MAX(I47:M47,I66:M66,I86:N86)</f>
        <v>175</v>
      </c>
    </row>
    <row r="14" spans="2:18">
      <c r="B14" s="12" t="s">
        <v>54</v>
      </c>
      <c r="C14" s="12">
        <v>607</v>
      </c>
      <c r="D14" s="12">
        <v>339</v>
      </c>
      <c r="E14" s="13">
        <f t="shared" ref="E14:E19" si="1">SQRT(D14^2+C14^2)</f>
        <v>695.24815713527789</v>
      </c>
      <c r="G14" s="8"/>
    </row>
    <row r="15" spans="2:18">
      <c r="B15" t="s">
        <v>60</v>
      </c>
      <c r="C15">
        <v>626</v>
      </c>
      <c r="D15">
        <v>362</v>
      </c>
      <c r="E15" s="8">
        <f t="shared" si="1"/>
        <v>723.13207645629996</v>
      </c>
      <c r="G15" s="8"/>
    </row>
    <row r="16" spans="2:18">
      <c r="B16" s="12" t="s">
        <v>51</v>
      </c>
      <c r="C16" s="12">
        <v>617</v>
      </c>
      <c r="D16" s="12">
        <v>348</v>
      </c>
      <c r="E16" s="13">
        <f t="shared" si="1"/>
        <v>708.37348905785575</v>
      </c>
      <c r="G16" s="8"/>
    </row>
    <row r="17" spans="2:13">
      <c r="B17" t="s">
        <v>52</v>
      </c>
      <c r="C17">
        <v>626</v>
      </c>
      <c r="D17">
        <v>362</v>
      </c>
      <c r="E17" s="8">
        <f t="shared" si="1"/>
        <v>723.13207645629996</v>
      </c>
    </row>
    <row r="18" spans="2:13">
      <c r="B18" t="s">
        <v>53</v>
      </c>
      <c r="C18">
        <v>635</v>
      </c>
      <c r="D18">
        <v>374</v>
      </c>
      <c r="E18" s="8">
        <f t="shared" si="1"/>
        <v>736.95386558454254</v>
      </c>
      <c r="H18" t="s">
        <v>148</v>
      </c>
    </row>
    <row r="19" spans="2:13">
      <c r="B19" t="s">
        <v>59</v>
      </c>
      <c r="C19">
        <v>645</v>
      </c>
      <c r="D19">
        <v>390</v>
      </c>
      <c r="E19" s="8">
        <f t="shared" si="1"/>
        <v>753.74067158406672</v>
      </c>
      <c r="H19" s="9"/>
      <c r="I19" s="14" t="s">
        <v>67</v>
      </c>
      <c r="J19" s="9" t="s">
        <v>68</v>
      </c>
      <c r="K19" s="9" t="s">
        <v>69</v>
      </c>
      <c r="L19" s="9" t="s">
        <v>70</v>
      </c>
      <c r="M19" s="9" t="s">
        <v>71</v>
      </c>
    </row>
    <row r="20" spans="2:13" ht="15" thickBot="1">
      <c r="H20" s="10" t="s">
        <v>72</v>
      </c>
      <c r="I20" s="15">
        <v>400</v>
      </c>
      <c r="J20" s="11">
        <v>450</v>
      </c>
      <c r="K20" s="11">
        <v>500</v>
      </c>
      <c r="L20" s="11">
        <v>550</v>
      </c>
      <c r="M20" s="11">
        <v>600</v>
      </c>
    </row>
    <row r="21" spans="2:13" ht="15" thickBot="1">
      <c r="B21" t="s">
        <v>61</v>
      </c>
      <c r="H21" s="10" t="s">
        <v>73</v>
      </c>
      <c r="I21" s="15">
        <v>557</v>
      </c>
      <c r="J21" s="11">
        <v>573</v>
      </c>
      <c r="K21" s="11">
        <v>588</v>
      </c>
      <c r="L21" s="11">
        <v>603</v>
      </c>
      <c r="M21" s="11">
        <v>619</v>
      </c>
    </row>
    <row r="22" spans="2:13" ht="15" thickBot="1">
      <c r="B22" t="s">
        <v>45</v>
      </c>
      <c r="C22" t="s">
        <v>47</v>
      </c>
      <c r="D22" t="s">
        <v>48</v>
      </c>
      <c r="E22" t="s">
        <v>90</v>
      </c>
      <c r="H22" s="10" t="s">
        <v>74</v>
      </c>
      <c r="I22" s="15">
        <v>70</v>
      </c>
      <c r="J22" s="11">
        <v>70</v>
      </c>
      <c r="K22" s="11">
        <v>70</v>
      </c>
      <c r="L22" s="11">
        <v>70</v>
      </c>
      <c r="M22" s="11">
        <v>70</v>
      </c>
    </row>
    <row r="23" spans="2:13" ht="15" thickBot="1">
      <c r="B23" s="12" t="s">
        <v>62</v>
      </c>
      <c r="C23" s="12">
        <v>584</v>
      </c>
      <c r="D23" s="12">
        <v>389</v>
      </c>
      <c r="E23" s="13">
        <f>SQRT(D23^2+C23^2)</f>
        <v>701.6958030371851</v>
      </c>
      <c r="H23" s="10" t="s">
        <v>76</v>
      </c>
      <c r="I23" s="15">
        <v>73</v>
      </c>
      <c r="J23" s="11">
        <v>73</v>
      </c>
      <c r="K23" s="11">
        <v>73</v>
      </c>
      <c r="L23" s="11">
        <v>73</v>
      </c>
      <c r="M23" s="11">
        <v>73</v>
      </c>
    </row>
    <row r="24" spans="2:13" ht="15" thickBot="1">
      <c r="B24" t="s">
        <v>63</v>
      </c>
      <c r="C24">
        <v>599</v>
      </c>
      <c r="D24">
        <v>398</v>
      </c>
      <c r="E24" s="8">
        <f>SQRT(D24^2+C24^2)</f>
        <v>719.16966009419502</v>
      </c>
      <c r="H24" s="10" t="s">
        <v>78</v>
      </c>
      <c r="I24" s="15">
        <v>690</v>
      </c>
      <c r="J24" s="11">
        <v>731</v>
      </c>
      <c r="K24" s="11">
        <v>772</v>
      </c>
      <c r="L24" s="11">
        <v>812</v>
      </c>
      <c r="M24" s="11">
        <v>852</v>
      </c>
    </row>
    <row r="25" spans="2:13" ht="15" thickBot="1">
      <c r="B25" t="s">
        <v>64</v>
      </c>
      <c r="C25">
        <v>616</v>
      </c>
      <c r="D25">
        <v>407</v>
      </c>
      <c r="E25" s="8">
        <f>SQRT(D25^2+C25^2)</f>
        <v>738.31226456019272</v>
      </c>
      <c r="H25" s="10" t="s">
        <v>79</v>
      </c>
      <c r="I25" s="15">
        <v>134</v>
      </c>
      <c r="J25" s="11">
        <v>160</v>
      </c>
      <c r="K25" s="11">
        <v>185</v>
      </c>
      <c r="L25" s="11">
        <v>211</v>
      </c>
      <c r="M25" s="11">
        <v>236</v>
      </c>
    </row>
    <row r="26" spans="2:13" ht="15" thickBot="1">
      <c r="B26" t="s">
        <v>65</v>
      </c>
      <c r="C26">
        <v>632</v>
      </c>
      <c r="D26">
        <v>415</v>
      </c>
      <c r="E26" s="8">
        <f>SQRT(D26^2+C26^2)</f>
        <v>756.07473175606128</v>
      </c>
      <c r="H26" s="10" t="s">
        <v>80</v>
      </c>
      <c r="I26" s="15">
        <v>1053</v>
      </c>
      <c r="J26" s="11">
        <v>1070</v>
      </c>
      <c r="K26" s="11">
        <v>1086</v>
      </c>
      <c r="L26" s="11">
        <v>1103</v>
      </c>
      <c r="M26" s="11">
        <v>1120</v>
      </c>
    </row>
    <row r="27" spans="2:13" ht="15" thickBot="1">
      <c r="B27" t="s">
        <v>66</v>
      </c>
      <c r="C27">
        <v>645</v>
      </c>
      <c r="D27">
        <v>425</v>
      </c>
      <c r="E27" s="8">
        <f>SQRT(D27^2+C27^2)</f>
        <v>772.43122671212609</v>
      </c>
      <c r="H27" s="10" t="s">
        <v>81</v>
      </c>
      <c r="I27" s="15">
        <v>627</v>
      </c>
      <c r="J27" s="11">
        <v>644</v>
      </c>
      <c r="K27" s="11">
        <v>660</v>
      </c>
      <c r="L27" s="11">
        <v>677</v>
      </c>
      <c r="M27" s="11">
        <v>694</v>
      </c>
    </row>
    <row r="28" spans="2:13" ht="15" thickBot="1">
      <c r="H28" s="10" t="s">
        <v>82</v>
      </c>
      <c r="I28" s="15">
        <v>435</v>
      </c>
      <c r="J28" s="11">
        <v>435</v>
      </c>
      <c r="K28" s="11">
        <v>435</v>
      </c>
      <c r="L28" s="11">
        <v>435</v>
      </c>
      <c r="M28" s="11">
        <v>435</v>
      </c>
    </row>
    <row r="29" spans="2:13" ht="15" thickBot="1">
      <c r="B29" t="s">
        <v>148</v>
      </c>
      <c r="H29" s="10" t="s">
        <v>83</v>
      </c>
      <c r="I29" s="15">
        <v>68</v>
      </c>
      <c r="J29" s="11">
        <v>68</v>
      </c>
      <c r="K29" s="11">
        <v>68</v>
      </c>
      <c r="L29" s="11">
        <v>68</v>
      </c>
      <c r="M29" s="11">
        <v>68</v>
      </c>
    </row>
    <row r="30" spans="2:13" ht="15" thickBot="1">
      <c r="B30" t="s">
        <v>45</v>
      </c>
      <c r="C30" t="s">
        <v>47</v>
      </c>
      <c r="D30" t="s">
        <v>48</v>
      </c>
      <c r="E30" t="s">
        <v>90</v>
      </c>
      <c r="H30" s="10" t="s">
        <v>84</v>
      </c>
      <c r="I30" s="15">
        <v>277</v>
      </c>
      <c r="J30" s="11">
        <v>277</v>
      </c>
      <c r="K30" s="11">
        <v>277</v>
      </c>
      <c r="L30" s="11">
        <v>277</v>
      </c>
      <c r="M30" s="11">
        <v>277</v>
      </c>
    </row>
    <row r="31" spans="2:13" ht="15" thickBot="1">
      <c r="B31" s="12" t="s">
        <v>62</v>
      </c>
      <c r="C31" s="12">
        <v>554</v>
      </c>
      <c r="D31" s="12">
        <v>388</v>
      </c>
      <c r="E31" s="13">
        <f>SQRT(D31^2+C31^2)</f>
        <v>676.35789342625401</v>
      </c>
      <c r="H31" s="10" t="s">
        <v>85</v>
      </c>
      <c r="I31" s="15">
        <v>55</v>
      </c>
      <c r="J31" s="11">
        <v>55</v>
      </c>
      <c r="K31" s="11">
        <v>55</v>
      </c>
      <c r="L31" s="11">
        <v>55</v>
      </c>
      <c r="M31" s="11">
        <v>55</v>
      </c>
    </row>
    <row r="32" spans="2:13" ht="15" thickBot="1">
      <c r="B32" t="s">
        <v>63</v>
      </c>
      <c r="C32">
        <v>578</v>
      </c>
      <c r="D32">
        <v>396</v>
      </c>
      <c r="E32" s="8">
        <f>SQRT(D32^2+C32^2)</f>
        <v>700.64256222413439</v>
      </c>
      <c r="H32" s="10" t="s">
        <v>86</v>
      </c>
      <c r="I32" s="15">
        <v>67</v>
      </c>
      <c r="J32" s="11">
        <v>67</v>
      </c>
      <c r="K32" s="11">
        <v>67</v>
      </c>
      <c r="L32" s="11">
        <v>67</v>
      </c>
      <c r="M32" s="11">
        <v>67</v>
      </c>
    </row>
    <row r="33" spans="2:13" ht="15" thickBot="1">
      <c r="B33" t="s">
        <v>64</v>
      </c>
      <c r="C33">
        <v>602</v>
      </c>
      <c r="D33">
        <v>404</v>
      </c>
      <c r="E33" s="8">
        <f>SQRT(D33^2+C33^2)</f>
        <v>724.99655171593747</v>
      </c>
      <c r="H33" s="10" t="s">
        <v>87</v>
      </c>
      <c r="I33" s="15">
        <v>554</v>
      </c>
      <c r="J33" s="11">
        <v>578</v>
      </c>
      <c r="K33" s="11">
        <v>602</v>
      </c>
      <c r="L33" s="11">
        <v>626</v>
      </c>
      <c r="M33" s="11">
        <v>650</v>
      </c>
    </row>
    <row r="34" spans="2:13" ht="15" thickBot="1">
      <c r="B34" t="s">
        <v>65</v>
      </c>
      <c r="C34">
        <v>626</v>
      </c>
      <c r="D34">
        <v>412</v>
      </c>
      <c r="E34" s="8">
        <f>SQRT(D34^2+C34^2)</f>
        <v>749.4131037018235</v>
      </c>
      <c r="H34" s="10" t="s">
        <v>88</v>
      </c>
      <c r="I34" s="15">
        <v>388</v>
      </c>
      <c r="J34" s="11">
        <v>396</v>
      </c>
      <c r="K34" s="11">
        <v>404</v>
      </c>
      <c r="L34" s="11">
        <v>412</v>
      </c>
      <c r="M34" s="11">
        <v>420</v>
      </c>
    </row>
    <row r="35" spans="2:13">
      <c r="B35" t="s">
        <v>66</v>
      </c>
      <c r="C35">
        <v>650</v>
      </c>
      <c r="D35">
        <v>420</v>
      </c>
      <c r="E35" s="8">
        <f>SQRT(D35^2+C35^2)</f>
        <v>773.88629655783416</v>
      </c>
      <c r="H35" s="39" t="s">
        <v>242</v>
      </c>
      <c r="I35" s="38">
        <f>I20+I21+I25+I27+4*I28</f>
        <v>3458</v>
      </c>
      <c r="J35" s="38">
        <f>J20+J21+J25+J27+4*J28</f>
        <v>3567</v>
      </c>
      <c r="K35" s="38">
        <f>K20+K21+K25+K27+4*K28</f>
        <v>3673</v>
      </c>
      <c r="L35" s="38">
        <f>L20+L21+L25+L27+4*L28</f>
        <v>3781</v>
      </c>
      <c r="M35" s="38">
        <f>M20+M21+M25+M27+4*M28</f>
        <v>3889</v>
      </c>
    </row>
    <row r="36" spans="2:13">
      <c r="H36" t="s">
        <v>150</v>
      </c>
    </row>
    <row r="37" spans="2:13">
      <c r="B37" t="s">
        <v>149</v>
      </c>
      <c r="G37" s="16"/>
      <c r="I37" t="s">
        <v>93</v>
      </c>
      <c r="J37" s="17" t="s">
        <v>94</v>
      </c>
      <c r="K37" t="s">
        <v>95</v>
      </c>
      <c r="L37" t="s">
        <v>96</v>
      </c>
      <c r="M37" t="s">
        <v>70</v>
      </c>
    </row>
    <row r="38" spans="2:13">
      <c r="B38" t="s">
        <v>45</v>
      </c>
      <c r="C38" t="s">
        <v>47</v>
      </c>
      <c r="D38" t="s">
        <v>48</v>
      </c>
      <c r="E38" t="s">
        <v>90</v>
      </c>
      <c r="G38" s="16" t="s">
        <v>97</v>
      </c>
      <c r="H38" t="s">
        <v>98</v>
      </c>
      <c r="I38" s="16" t="s">
        <v>99</v>
      </c>
      <c r="J38" s="18" t="s">
        <v>100</v>
      </c>
      <c r="K38" s="16" t="s">
        <v>77</v>
      </c>
      <c r="L38" s="16" t="s">
        <v>77</v>
      </c>
      <c r="M38" s="16" t="s">
        <v>77</v>
      </c>
    </row>
    <row r="39" spans="2:13">
      <c r="B39" t="s">
        <v>89</v>
      </c>
      <c r="C39">
        <v>524</v>
      </c>
      <c r="D39">
        <v>400</v>
      </c>
      <c r="E39" s="8">
        <f>SQRT(D39^2+C39^2)</f>
        <v>659.2237859786311</v>
      </c>
      <c r="G39" s="16" t="s">
        <v>101</v>
      </c>
      <c r="H39" t="s">
        <v>109</v>
      </c>
      <c r="I39" s="16">
        <v>550</v>
      </c>
      <c r="J39" s="18">
        <v>565</v>
      </c>
      <c r="K39" s="16">
        <v>580</v>
      </c>
      <c r="L39" s="16">
        <v>595</v>
      </c>
      <c r="M39" s="16">
        <v>610</v>
      </c>
    </row>
    <row r="40" spans="2:13">
      <c r="B40" s="12" t="s">
        <v>62</v>
      </c>
      <c r="C40" s="12">
        <v>538</v>
      </c>
      <c r="D40" s="12">
        <v>406</v>
      </c>
      <c r="E40" s="13">
        <f>SQRT(D40^2+C40^2)</f>
        <v>674.00296735251845</v>
      </c>
      <c r="G40" s="16" t="s">
        <v>16</v>
      </c>
      <c r="H40" t="s">
        <v>110</v>
      </c>
      <c r="I40" s="16">
        <v>100</v>
      </c>
      <c r="J40" s="18">
        <v>115</v>
      </c>
      <c r="K40" s="16">
        <v>130</v>
      </c>
      <c r="L40" s="16">
        <v>160</v>
      </c>
      <c r="M40" s="16">
        <v>190</v>
      </c>
    </row>
    <row r="41" spans="2:13">
      <c r="B41" t="s">
        <v>63</v>
      </c>
      <c r="C41">
        <v>556</v>
      </c>
      <c r="D41">
        <v>410</v>
      </c>
      <c r="E41" s="8">
        <f>SQRT(D41^2+C41^2)</f>
        <v>690.82269794788874</v>
      </c>
      <c r="G41" s="16" t="s">
        <v>102</v>
      </c>
      <c r="H41" t="s">
        <v>103</v>
      </c>
      <c r="I41" s="16" t="s">
        <v>75</v>
      </c>
      <c r="J41" s="18" t="s">
        <v>75</v>
      </c>
      <c r="K41" s="16" t="s">
        <v>104</v>
      </c>
      <c r="L41" s="16" t="s">
        <v>104</v>
      </c>
      <c r="M41" s="16" t="s">
        <v>104</v>
      </c>
    </row>
    <row r="42" spans="2:13">
      <c r="B42" t="s">
        <v>64</v>
      </c>
      <c r="C42">
        <v>585</v>
      </c>
      <c r="D42">
        <v>416</v>
      </c>
      <c r="E42" s="8">
        <f>SQRT(D42^2+C42^2)</f>
        <v>717.83075999848324</v>
      </c>
      <c r="G42" s="16" t="s">
        <v>105</v>
      </c>
      <c r="H42" t="s">
        <v>111</v>
      </c>
      <c r="I42" s="16">
        <v>1069</v>
      </c>
      <c r="J42" s="18">
        <v>1080</v>
      </c>
      <c r="K42" s="16">
        <v>1081</v>
      </c>
      <c r="L42" s="16">
        <v>1097</v>
      </c>
      <c r="M42" s="16">
        <v>1113</v>
      </c>
    </row>
    <row r="43" spans="2:13">
      <c r="B43" t="s">
        <v>65</v>
      </c>
      <c r="C43">
        <v>613</v>
      </c>
      <c r="D43">
        <v>423</v>
      </c>
      <c r="E43" s="8">
        <f>SQRT(D43^2+C43^2)</f>
        <v>744.7805045783623</v>
      </c>
      <c r="G43" s="16" t="s">
        <v>106</v>
      </c>
      <c r="H43" t="s">
        <v>112</v>
      </c>
      <c r="I43" s="16">
        <v>451</v>
      </c>
      <c r="J43" s="18">
        <v>451</v>
      </c>
      <c r="K43" s="16">
        <v>451</v>
      </c>
      <c r="L43" s="16">
        <v>451</v>
      </c>
      <c r="M43" s="16">
        <v>451</v>
      </c>
    </row>
    <row r="44" spans="2:13">
      <c r="G44" s="16" t="s">
        <v>107</v>
      </c>
      <c r="H44" t="s">
        <v>113</v>
      </c>
      <c r="I44" s="16">
        <v>524</v>
      </c>
      <c r="J44" s="18">
        <v>538</v>
      </c>
      <c r="K44" s="16">
        <v>556</v>
      </c>
      <c r="L44" s="16">
        <v>585</v>
      </c>
      <c r="M44" s="16">
        <v>613</v>
      </c>
    </row>
    <row r="45" spans="2:13">
      <c r="B45" t="s">
        <v>91</v>
      </c>
      <c r="G45" s="16" t="s">
        <v>96</v>
      </c>
      <c r="H45" t="s">
        <v>114</v>
      </c>
      <c r="I45" s="16">
        <v>400</v>
      </c>
      <c r="J45" s="18">
        <v>406</v>
      </c>
      <c r="K45" s="16">
        <v>410</v>
      </c>
      <c r="L45" s="16">
        <v>416</v>
      </c>
      <c r="M45" s="16">
        <v>423</v>
      </c>
    </row>
    <row r="46" spans="2:13">
      <c r="B46" t="s">
        <v>45</v>
      </c>
      <c r="C46" t="s">
        <v>47</v>
      </c>
      <c r="D46" t="s">
        <v>48</v>
      </c>
      <c r="E46" t="s">
        <v>90</v>
      </c>
      <c r="G46" s="16" t="s">
        <v>95</v>
      </c>
      <c r="H46" t="s">
        <v>115</v>
      </c>
      <c r="I46" s="16">
        <v>682</v>
      </c>
      <c r="J46" s="18">
        <v>713</v>
      </c>
      <c r="K46" s="16">
        <v>755</v>
      </c>
      <c r="L46" s="16">
        <v>796</v>
      </c>
      <c r="M46" s="16">
        <v>838</v>
      </c>
    </row>
    <row r="47" spans="2:13">
      <c r="B47" t="s">
        <v>62</v>
      </c>
      <c r="C47">
        <v>530</v>
      </c>
      <c r="D47">
        <v>380</v>
      </c>
      <c r="E47" s="8">
        <f>SQRT(D47^2+C47^2)</f>
        <v>652.15028942721483</v>
      </c>
      <c r="G47" s="16" t="s">
        <v>108</v>
      </c>
      <c r="H47" t="s">
        <v>116</v>
      </c>
      <c r="I47" s="16">
        <v>170</v>
      </c>
      <c r="J47" s="18">
        <v>170</v>
      </c>
      <c r="K47" s="16">
        <v>175</v>
      </c>
      <c r="L47" s="16">
        <v>175</v>
      </c>
      <c r="M47" s="16">
        <v>175</v>
      </c>
    </row>
    <row r="48" spans="2:13">
      <c r="B48" s="12" t="s">
        <v>63</v>
      </c>
      <c r="C48" s="12">
        <v>554</v>
      </c>
      <c r="D48" s="12">
        <v>388</v>
      </c>
      <c r="E48" s="13">
        <f>SQRT(D48^2+C48^2)</f>
        <v>676.35789342625401</v>
      </c>
    </row>
    <row r="49" spans="2:13">
      <c r="B49" t="s">
        <v>92</v>
      </c>
      <c r="C49">
        <v>578</v>
      </c>
      <c r="D49">
        <v>396</v>
      </c>
      <c r="E49" s="8">
        <f>SQRT(D49^2+C49^2)</f>
        <v>700.64256222413439</v>
      </c>
      <c r="H49" t="s">
        <v>133</v>
      </c>
    </row>
    <row r="50" spans="2:13">
      <c r="I50" t="s">
        <v>93</v>
      </c>
      <c r="J50" s="20" t="s">
        <v>94</v>
      </c>
      <c r="K50" t="s">
        <v>95</v>
      </c>
      <c r="L50" t="s">
        <v>96</v>
      </c>
      <c r="M50" t="s">
        <v>70</v>
      </c>
    </row>
    <row r="51" spans="2:13">
      <c r="G51" s="16" t="s">
        <v>117</v>
      </c>
      <c r="H51" t="s">
        <v>127</v>
      </c>
      <c r="I51" s="16">
        <v>370</v>
      </c>
      <c r="J51" s="21">
        <v>390</v>
      </c>
      <c r="K51" s="16">
        <v>445</v>
      </c>
      <c r="L51" s="16">
        <v>480</v>
      </c>
      <c r="M51" s="16">
        <v>530</v>
      </c>
    </row>
    <row r="52" spans="2:13">
      <c r="G52" s="16" t="s">
        <v>97</v>
      </c>
      <c r="H52" t="s">
        <v>98</v>
      </c>
      <c r="I52" s="16" t="s">
        <v>100</v>
      </c>
      <c r="J52" s="21" t="s">
        <v>100</v>
      </c>
      <c r="K52" s="16" t="s">
        <v>100</v>
      </c>
      <c r="L52" s="16" t="s">
        <v>100</v>
      </c>
      <c r="M52" s="16" t="s">
        <v>100</v>
      </c>
    </row>
    <row r="53" spans="2:13">
      <c r="G53" s="16" t="s">
        <v>101</v>
      </c>
      <c r="H53" t="s">
        <v>109</v>
      </c>
      <c r="I53" s="16">
        <v>565</v>
      </c>
      <c r="J53" s="21">
        <v>585</v>
      </c>
      <c r="K53" s="16">
        <v>605</v>
      </c>
      <c r="L53" s="16">
        <v>625</v>
      </c>
      <c r="M53" s="16">
        <v>645</v>
      </c>
    </row>
    <row r="54" spans="2:13">
      <c r="G54" s="16" t="s">
        <v>16</v>
      </c>
      <c r="H54" t="s">
        <v>110</v>
      </c>
      <c r="I54" s="16">
        <v>95</v>
      </c>
      <c r="J54" s="21">
        <v>100</v>
      </c>
      <c r="K54" s="16">
        <v>110</v>
      </c>
      <c r="L54" s="16">
        <v>125</v>
      </c>
      <c r="M54" s="16">
        <v>140</v>
      </c>
    </row>
    <row r="55" spans="2:13">
      <c r="G55" s="16" t="s">
        <v>102</v>
      </c>
      <c r="H55" t="s">
        <v>103</v>
      </c>
      <c r="I55" s="16" t="s">
        <v>118</v>
      </c>
      <c r="J55" s="21" t="s">
        <v>118</v>
      </c>
      <c r="K55" s="16" t="s">
        <v>118</v>
      </c>
      <c r="L55" s="16" t="s">
        <v>118</v>
      </c>
      <c r="M55" s="16" t="s">
        <v>118</v>
      </c>
    </row>
    <row r="56" spans="2:13">
      <c r="G56" s="16" t="s">
        <v>119</v>
      </c>
      <c r="H56" t="s">
        <v>128</v>
      </c>
      <c r="I56" s="16">
        <v>42</v>
      </c>
      <c r="J56" s="21">
        <v>42</v>
      </c>
      <c r="K56" s="16">
        <v>42</v>
      </c>
      <c r="L56" s="16">
        <v>42</v>
      </c>
      <c r="M56" s="16">
        <v>42</v>
      </c>
    </row>
    <row r="57" spans="2:13">
      <c r="G57" s="16" t="s">
        <v>120</v>
      </c>
      <c r="H57" t="s">
        <v>129</v>
      </c>
      <c r="I57" s="16">
        <v>108.2</v>
      </c>
      <c r="J57" s="21">
        <v>108.2</v>
      </c>
      <c r="K57" s="16">
        <v>108.2</v>
      </c>
      <c r="L57" s="16">
        <v>108.2</v>
      </c>
      <c r="M57" s="16">
        <v>108.2</v>
      </c>
    </row>
    <row r="58" spans="2:13">
      <c r="G58" s="16" t="s">
        <v>105</v>
      </c>
      <c r="H58" t="s">
        <v>111</v>
      </c>
      <c r="I58" s="16">
        <v>1089</v>
      </c>
      <c r="J58" s="21">
        <v>1110</v>
      </c>
      <c r="K58" s="16">
        <v>1131</v>
      </c>
      <c r="L58" s="16">
        <v>1153</v>
      </c>
      <c r="M58" s="16">
        <v>1174</v>
      </c>
    </row>
    <row r="59" spans="2:13">
      <c r="G59" s="16" t="s">
        <v>106</v>
      </c>
      <c r="H59" t="s">
        <v>112</v>
      </c>
      <c r="I59" s="16">
        <v>425</v>
      </c>
      <c r="J59" s="21">
        <v>425</v>
      </c>
      <c r="K59" s="16">
        <v>425</v>
      </c>
      <c r="L59" s="16">
        <v>425</v>
      </c>
      <c r="M59" s="16">
        <v>425</v>
      </c>
    </row>
    <row r="60" spans="2:13">
      <c r="G60" s="16" t="s">
        <v>121</v>
      </c>
      <c r="H60" t="s">
        <v>130</v>
      </c>
      <c r="I60" s="16">
        <v>45</v>
      </c>
      <c r="J60" s="21">
        <v>45</v>
      </c>
      <c r="K60" s="16">
        <v>45</v>
      </c>
      <c r="L60" s="16">
        <v>45</v>
      </c>
      <c r="M60" s="16">
        <v>45</v>
      </c>
    </row>
    <row r="61" spans="2:13">
      <c r="G61" s="16" t="s">
        <v>107</v>
      </c>
      <c r="H61" t="s">
        <v>113</v>
      </c>
      <c r="I61" s="16">
        <v>584</v>
      </c>
      <c r="J61" s="21">
        <v>588</v>
      </c>
      <c r="K61" s="16">
        <v>598</v>
      </c>
      <c r="L61" s="16">
        <v>611</v>
      </c>
      <c r="M61" s="16">
        <v>625</v>
      </c>
    </row>
    <row r="62" spans="2:13">
      <c r="G62" s="16" t="s">
        <v>96</v>
      </c>
      <c r="H62" t="s">
        <v>114</v>
      </c>
      <c r="I62" s="16">
        <v>392</v>
      </c>
      <c r="J62" s="21">
        <v>411</v>
      </c>
      <c r="K62" s="16">
        <v>428</v>
      </c>
      <c r="L62" s="16">
        <v>444</v>
      </c>
      <c r="M62" s="16">
        <v>460</v>
      </c>
    </row>
    <row r="63" spans="2:13">
      <c r="G63" s="16" t="s">
        <v>95</v>
      </c>
      <c r="H63" t="s">
        <v>115</v>
      </c>
      <c r="I63" s="16">
        <v>667</v>
      </c>
      <c r="J63" s="21">
        <v>691</v>
      </c>
      <c r="K63" s="16">
        <v>731</v>
      </c>
      <c r="L63" s="16">
        <v>745</v>
      </c>
      <c r="M63" s="16">
        <v>784</v>
      </c>
    </row>
    <row r="64" spans="2:13">
      <c r="G64" s="16" t="s">
        <v>122</v>
      </c>
      <c r="H64" t="s">
        <v>131</v>
      </c>
      <c r="I64" s="16">
        <v>780</v>
      </c>
      <c r="J64" s="21">
        <v>780</v>
      </c>
      <c r="K64" s="16">
        <v>780</v>
      </c>
      <c r="L64" s="16">
        <v>780</v>
      </c>
      <c r="M64" s="16">
        <v>780</v>
      </c>
    </row>
    <row r="65" spans="7:14">
      <c r="G65" s="16" t="s">
        <v>123</v>
      </c>
      <c r="H65" t="s">
        <v>132</v>
      </c>
      <c r="I65" s="16">
        <v>40</v>
      </c>
      <c r="J65" s="21">
        <v>40</v>
      </c>
      <c r="K65" s="16">
        <v>50</v>
      </c>
      <c r="L65" s="16">
        <v>60</v>
      </c>
      <c r="M65" s="16">
        <v>70</v>
      </c>
    </row>
    <row r="66" spans="7:14">
      <c r="G66" s="16" t="s">
        <v>108</v>
      </c>
      <c r="H66" t="s">
        <v>116</v>
      </c>
      <c r="I66" s="16">
        <v>170</v>
      </c>
      <c r="J66" s="21">
        <v>170</v>
      </c>
      <c r="K66" s="16">
        <v>175</v>
      </c>
      <c r="L66" s="16">
        <v>175</v>
      </c>
      <c r="M66" s="16">
        <v>175</v>
      </c>
    </row>
    <row r="67" spans="7:14">
      <c r="G67" s="16" t="s">
        <v>124</v>
      </c>
      <c r="H67" t="s">
        <v>125</v>
      </c>
      <c r="I67" s="16" t="s">
        <v>126</v>
      </c>
      <c r="J67" s="21" t="s">
        <v>126</v>
      </c>
      <c r="K67" s="16" t="s">
        <v>126</v>
      </c>
      <c r="L67" s="16" t="s">
        <v>126</v>
      </c>
      <c r="M67" s="16" t="s">
        <v>126</v>
      </c>
    </row>
    <row r="69" spans="7:14">
      <c r="H69" t="s">
        <v>139</v>
      </c>
    </row>
    <row r="70" spans="7:14">
      <c r="I70" t="s">
        <v>93</v>
      </c>
      <c r="J70" s="23" t="s">
        <v>94</v>
      </c>
      <c r="K70" t="s">
        <v>95</v>
      </c>
      <c r="L70" t="s">
        <v>134</v>
      </c>
      <c r="M70" t="s">
        <v>96</v>
      </c>
      <c r="N70" t="s">
        <v>70</v>
      </c>
    </row>
    <row r="71" spans="7:14">
      <c r="G71" s="16" t="s">
        <v>117</v>
      </c>
      <c r="H71" s="2" t="s">
        <v>127</v>
      </c>
      <c r="I71" s="16">
        <v>430</v>
      </c>
      <c r="J71" s="24">
        <v>465</v>
      </c>
      <c r="K71" s="16">
        <v>500</v>
      </c>
      <c r="L71" s="16">
        <v>535</v>
      </c>
      <c r="M71" s="16">
        <v>555</v>
      </c>
      <c r="N71" s="16">
        <v>585</v>
      </c>
    </row>
    <row r="72" spans="7:14">
      <c r="G72" s="16" t="s">
        <v>97</v>
      </c>
      <c r="H72" s="2" t="s">
        <v>98</v>
      </c>
      <c r="I72" s="16" t="s">
        <v>135</v>
      </c>
      <c r="J72" s="24" t="s">
        <v>99</v>
      </c>
      <c r="K72" s="16" t="s">
        <v>100</v>
      </c>
      <c r="L72" s="16" t="s">
        <v>77</v>
      </c>
      <c r="M72" s="16" t="s">
        <v>77</v>
      </c>
      <c r="N72" s="16" t="s">
        <v>136</v>
      </c>
    </row>
    <row r="73" spans="7:14">
      <c r="G73" s="16" t="s">
        <v>101</v>
      </c>
      <c r="H73" s="2" t="s">
        <v>109</v>
      </c>
      <c r="I73" s="16">
        <v>515</v>
      </c>
      <c r="J73" s="24">
        <v>530</v>
      </c>
      <c r="K73" s="16">
        <v>545</v>
      </c>
      <c r="L73" s="16">
        <v>560</v>
      </c>
      <c r="M73" s="16">
        <v>575</v>
      </c>
      <c r="N73" s="16">
        <v>595</v>
      </c>
    </row>
    <row r="74" spans="7:14">
      <c r="G74" s="16" t="s">
        <v>16</v>
      </c>
      <c r="H74" s="2" t="s">
        <v>110</v>
      </c>
      <c r="I74" s="16">
        <v>123</v>
      </c>
      <c r="J74" s="24">
        <v>138</v>
      </c>
      <c r="K74" s="16">
        <v>158</v>
      </c>
      <c r="L74" s="16">
        <v>178</v>
      </c>
      <c r="M74" s="16">
        <v>198</v>
      </c>
      <c r="N74" s="16">
        <v>218</v>
      </c>
    </row>
    <row r="75" spans="7:14">
      <c r="G75" s="16" t="s">
        <v>102</v>
      </c>
      <c r="H75" s="2" t="s">
        <v>103</v>
      </c>
      <c r="I75" s="16" t="s">
        <v>104</v>
      </c>
      <c r="J75" s="24" t="s">
        <v>137</v>
      </c>
      <c r="K75" s="16" t="s">
        <v>136</v>
      </c>
      <c r="L75" s="16" t="s">
        <v>136</v>
      </c>
      <c r="M75" s="16" t="s">
        <v>136</v>
      </c>
      <c r="N75" s="16" t="s">
        <v>136</v>
      </c>
    </row>
    <row r="76" spans="7:14">
      <c r="G76" s="16" t="s">
        <v>119</v>
      </c>
      <c r="H76" s="2" t="s">
        <v>128</v>
      </c>
      <c r="I76" s="16">
        <v>50</v>
      </c>
      <c r="J76" s="24">
        <v>50</v>
      </c>
      <c r="K76" s="16">
        <v>50</v>
      </c>
      <c r="L76" s="16">
        <v>50</v>
      </c>
      <c r="M76" s="16">
        <v>50</v>
      </c>
      <c r="N76" s="16">
        <v>50</v>
      </c>
    </row>
    <row r="77" spans="7:14">
      <c r="G77" s="16" t="s">
        <v>120</v>
      </c>
      <c r="H77" s="2" t="s">
        <v>129</v>
      </c>
      <c r="I77" s="16">
        <v>66.8</v>
      </c>
      <c r="J77" s="24">
        <v>61.9</v>
      </c>
      <c r="K77" s="16">
        <v>57.1</v>
      </c>
      <c r="L77" s="16">
        <v>57.1</v>
      </c>
      <c r="M77" s="16">
        <v>57.1</v>
      </c>
      <c r="N77" s="16">
        <v>57.1</v>
      </c>
    </row>
    <row r="78" spans="7:14">
      <c r="G78" s="16" t="s">
        <v>105</v>
      </c>
      <c r="H78" s="2" t="s">
        <v>111</v>
      </c>
      <c r="I78" s="16">
        <v>985</v>
      </c>
      <c r="J78" s="24">
        <v>986</v>
      </c>
      <c r="K78" s="16">
        <v>990</v>
      </c>
      <c r="L78" s="16">
        <v>1002</v>
      </c>
      <c r="M78" s="16">
        <v>1017</v>
      </c>
      <c r="N78" s="16">
        <v>1031</v>
      </c>
    </row>
    <row r="79" spans="7:14">
      <c r="G79" s="16" t="s">
        <v>106</v>
      </c>
      <c r="H79" s="2" t="s">
        <v>112</v>
      </c>
      <c r="I79" s="16">
        <v>412</v>
      </c>
      <c r="J79" s="24">
        <v>412</v>
      </c>
      <c r="K79" s="16">
        <v>412</v>
      </c>
      <c r="L79" s="16">
        <v>412</v>
      </c>
      <c r="M79" s="16">
        <v>412</v>
      </c>
      <c r="N79" s="16">
        <v>412</v>
      </c>
    </row>
    <row r="80" spans="7:14">
      <c r="G80" s="16" t="s">
        <v>121</v>
      </c>
      <c r="H80" s="2" t="s">
        <v>130</v>
      </c>
      <c r="I80" s="16">
        <v>75</v>
      </c>
      <c r="J80" s="24">
        <v>75</v>
      </c>
      <c r="K80" s="16">
        <v>75</v>
      </c>
      <c r="L80" s="16">
        <v>70</v>
      </c>
      <c r="M80" s="16">
        <v>70</v>
      </c>
      <c r="N80" s="16">
        <v>70</v>
      </c>
    </row>
    <row r="81" spans="7:14">
      <c r="G81" s="16" t="s">
        <v>107</v>
      </c>
      <c r="H81" s="2" t="s">
        <v>113</v>
      </c>
      <c r="I81" s="16">
        <v>524</v>
      </c>
      <c r="J81" s="24">
        <v>541</v>
      </c>
      <c r="K81" s="16">
        <v>563</v>
      </c>
      <c r="L81" s="16">
        <v>577</v>
      </c>
      <c r="M81" s="16">
        <v>596</v>
      </c>
      <c r="N81" s="16">
        <v>615</v>
      </c>
    </row>
    <row r="82" spans="7:14">
      <c r="G82" s="16" t="s">
        <v>96</v>
      </c>
      <c r="H82" s="2" t="s">
        <v>114</v>
      </c>
      <c r="I82" s="16">
        <v>372</v>
      </c>
      <c r="J82" s="24">
        <v>375</v>
      </c>
      <c r="K82" s="16">
        <v>378</v>
      </c>
      <c r="L82" s="16">
        <v>384</v>
      </c>
      <c r="M82" s="16">
        <v>393</v>
      </c>
      <c r="N82" s="16">
        <v>401</v>
      </c>
    </row>
    <row r="83" spans="7:14">
      <c r="G83" s="16" t="s">
        <v>95</v>
      </c>
      <c r="H83" s="2" t="s">
        <v>115</v>
      </c>
      <c r="I83" s="16">
        <v>720</v>
      </c>
      <c r="J83" s="24">
        <v>746</v>
      </c>
      <c r="K83" s="16">
        <v>774</v>
      </c>
      <c r="L83" s="16">
        <v>803</v>
      </c>
      <c r="M83" s="16">
        <v>821</v>
      </c>
      <c r="N83" s="16">
        <v>844</v>
      </c>
    </row>
    <row r="84" spans="7:14">
      <c r="G84" s="16" t="s">
        <v>122</v>
      </c>
      <c r="H84" s="2" t="s">
        <v>131</v>
      </c>
      <c r="I84" s="16">
        <v>400</v>
      </c>
      <c r="J84" s="24">
        <v>400</v>
      </c>
      <c r="K84" s="16">
        <v>420</v>
      </c>
      <c r="L84" s="16">
        <v>420</v>
      </c>
      <c r="M84" s="16">
        <v>440</v>
      </c>
      <c r="N84" s="16">
        <v>440</v>
      </c>
    </row>
    <row r="85" spans="7:14">
      <c r="G85" s="16" t="s">
        <v>123</v>
      </c>
      <c r="H85" s="2" t="s">
        <v>132</v>
      </c>
      <c r="I85" s="16">
        <v>80</v>
      </c>
      <c r="J85" s="24">
        <v>90</v>
      </c>
      <c r="K85" s="16">
        <v>100</v>
      </c>
      <c r="L85" s="16">
        <v>100</v>
      </c>
      <c r="M85" s="16">
        <v>110</v>
      </c>
      <c r="N85" s="16">
        <v>110</v>
      </c>
    </row>
    <row r="86" spans="7:14">
      <c r="G86" s="16" t="s">
        <v>108</v>
      </c>
      <c r="H86" s="2" t="s">
        <v>116</v>
      </c>
      <c r="I86" s="16">
        <v>165</v>
      </c>
      <c r="J86" s="24">
        <v>170</v>
      </c>
      <c r="K86" s="16">
        <v>172.5</v>
      </c>
      <c r="L86" s="16">
        <v>172.5</v>
      </c>
      <c r="M86" s="16">
        <v>175</v>
      </c>
      <c r="N86" s="16">
        <v>175</v>
      </c>
    </row>
    <row r="87" spans="7:14">
      <c r="G87" s="16" t="s">
        <v>124</v>
      </c>
      <c r="H87" s="2" t="s">
        <v>125</v>
      </c>
      <c r="I87" s="16" t="s">
        <v>138</v>
      </c>
      <c r="J87" s="24" t="s">
        <v>138</v>
      </c>
      <c r="K87" s="16" t="s">
        <v>138</v>
      </c>
      <c r="L87" s="16" t="s">
        <v>138</v>
      </c>
      <c r="M87" s="16" t="s">
        <v>138</v>
      </c>
      <c r="N87" s="16" t="s">
        <v>138</v>
      </c>
    </row>
  </sheetData>
  <mergeCells count="1">
    <mergeCell ref="C3:D3"/>
  </mergeCells>
  <pageMargins left="0.7" right="0.7" top="0.75" bottom="0.75" header="0.3" footer="0.3"/>
  <pageSetup paperSize="9" orientation="portrait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4" x14ac:dyDescent="0"/>
  <sheetData/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activeCell="A11" sqref="A11:A18"/>
    </sheetView>
  </sheetViews>
  <sheetFormatPr baseColWidth="10" defaultColWidth="8.83203125" defaultRowHeight="14" x14ac:dyDescent="0"/>
  <cols>
    <col min="1" max="1" width="26.5" bestFit="1" customWidth="1"/>
    <col min="2" max="2" width="17" customWidth="1"/>
    <col min="3" max="3" width="24.83203125" customWidth="1"/>
    <col min="4" max="4" width="14.5" customWidth="1"/>
  </cols>
  <sheetData>
    <row r="1" spans="1:5">
      <c r="A1" s="4" t="s">
        <v>359</v>
      </c>
      <c r="B1" s="4" t="s">
        <v>360</v>
      </c>
      <c r="C1" s="4" t="s">
        <v>361</v>
      </c>
      <c r="D1" s="4" t="s">
        <v>362</v>
      </c>
      <c r="E1" s="4"/>
    </row>
    <row r="2" spans="1:5" ht="42">
      <c r="A2" s="3" t="s">
        <v>363</v>
      </c>
      <c r="B2" s="3" t="s">
        <v>364</v>
      </c>
      <c r="C2" s="3" t="s">
        <v>365</v>
      </c>
      <c r="D2" s="80" t="s">
        <v>366</v>
      </c>
      <c r="E2" s="80" t="s">
        <v>367</v>
      </c>
    </row>
    <row r="3" spans="1:5" ht="28">
      <c r="A3" s="3" t="s">
        <v>368</v>
      </c>
      <c r="B3" s="3" t="s">
        <v>369</v>
      </c>
      <c r="C3" s="3" t="s">
        <v>370</v>
      </c>
      <c r="D3" s="80" t="s">
        <v>367</v>
      </c>
      <c r="E3" s="3"/>
    </row>
    <row r="4" spans="1:5" ht="28">
      <c r="A4" s="3" t="s">
        <v>371</v>
      </c>
      <c r="B4" s="3" t="s">
        <v>369</v>
      </c>
      <c r="C4" s="3" t="s">
        <v>372</v>
      </c>
      <c r="D4" s="80" t="s">
        <v>367</v>
      </c>
      <c r="E4" s="3"/>
    </row>
    <row r="5" spans="1:5" ht="28">
      <c r="A5" s="3" t="s">
        <v>373</v>
      </c>
      <c r="B5" s="3" t="s">
        <v>369</v>
      </c>
      <c r="C5" s="3" t="s">
        <v>372</v>
      </c>
      <c r="D5" s="80" t="s">
        <v>367</v>
      </c>
      <c r="E5" s="3"/>
    </row>
    <row r="6" spans="1:5" ht="42">
      <c r="A6" s="3" t="s">
        <v>374</v>
      </c>
      <c r="B6" s="3" t="s">
        <v>369</v>
      </c>
      <c r="C6" s="3" t="s">
        <v>375</v>
      </c>
      <c r="D6" s="80" t="s">
        <v>367</v>
      </c>
      <c r="E6" s="3"/>
    </row>
    <row r="7" spans="1:5" ht="28">
      <c r="A7" s="3" t="s">
        <v>376</v>
      </c>
      <c r="B7" s="3" t="s">
        <v>369</v>
      </c>
      <c r="C7" s="3" t="s">
        <v>377</v>
      </c>
      <c r="D7" s="80" t="s">
        <v>378</v>
      </c>
      <c r="E7" s="3"/>
    </row>
    <row r="8" spans="1:5" ht="28">
      <c r="A8" s="3" t="s">
        <v>379</v>
      </c>
      <c r="B8" s="3" t="s">
        <v>369</v>
      </c>
      <c r="C8" s="3" t="s">
        <v>380</v>
      </c>
      <c r="D8" s="80" t="s">
        <v>381</v>
      </c>
      <c r="E8" s="80" t="s">
        <v>382</v>
      </c>
    </row>
    <row r="10" spans="1:5">
      <c r="A10" s="4" t="s">
        <v>383</v>
      </c>
    </row>
    <row r="11" spans="1:5">
      <c r="A11" s="25" t="s">
        <v>384</v>
      </c>
    </row>
    <row r="12" spans="1:5">
      <c r="A12" s="3" t="s">
        <v>385</v>
      </c>
    </row>
    <row r="13" spans="1:5">
      <c r="A13" s="25" t="s">
        <v>386</v>
      </c>
    </row>
    <row r="14" spans="1:5">
      <c r="A14" s="3" t="s">
        <v>387</v>
      </c>
    </row>
    <row r="15" spans="1:5">
      <c r="A15" s="25" t="s">
        <v>389</v>
      </c>
    </row>
    <row r="16" spans="1:5">
      <c r="A16" s="3" t="s">
        <v>388</v>
      </c>
    </row>
    <row r="17" spans="1:1">
      <c r="A17" s="25" t="s">
        <v>390</v>
      </c>
    </row>
    <row r="18" spans="1:1">
      <c r="A18" s="25" t="s">
        <v>391</v>
      </c>
    </row>
    <row r="19" spans="1:1">
      <c r="A19" s="25" t="s">
        <v>393</v>
      </c>
    </row>
    <row r="21" spans="1:1">
      <c r="A21" s="81" t="s">
        <v>392</v>
      </c>
    </row>
  </sheetData>
  <hyperlinks>
    <hyperlink ref="D2" r:id="rId1"/>
    <hyperlink ref="E2" r:id="rId2"/>
    <hyperlink ref="D3" r:id="rId3"/>
    <hyperlink ref="D4" r:id="rId4"/>
    <hyperlink ref="D5" r:id="rId5"/>
    <hyperlink ref="D6" r:id="rId6"/>
    <hyperlink ref="D7" r:id="rId7"/>
    <hyperlink ref="D8" r:id="rId8"/>
    <hyperlink ref="E8" r:id="rId9"/>
  </hyperlinks>
  <pageMargins left="0.7" right="0.7" top="0.75" bottom="0.75" header="0.3" footer="0.3"/>
  <pageSetup paperSize="9" orientation="portrait" horizontalDpi="300" verticalDpi="300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pageSetUpPr fitToPage="1"/>
  </sheetPr>
  <dimension ref="A1:AA22"/>
  <sheetViews>
    <sheetView workbookViewId="0">
      <pane ySplit="2" topLeftCell="A3" activePane="bottomLeft" state="frozen"/>
      <selection pane="bottomLeft" activeCell="B15" sqref="B15"/>
    </sheetView>
  </sheetViews>
  <sheetFormatPr baseColWidth="10" defaultColWidth="8.83203125" defaultRowHeight="14" x14ac:dyDescent="0"/>
  <cols>
    <col min="1" max="1" width="12.5" style="3" customWidth="1"/>
    <col min="2" max="2" width="20.6640625" style="3" customWidth="1"/>
    <col min="3" max="8" width="7.1640625" style="25" customWidth="1"/>
    <col min="9" max="10" width="9.1640625" style="25" customWidth="1"/>
    <col min="11" max="11" width="10" style="25" customWidth="1"/>
    <col min="12" max="15" width="8.83203125" style="25"/>
    <col min="16" max="16" width="10.33203125" style="25" customWidth="1"/>
    <col min="17" max="17" width="11.5" style="25" customWidth="1"/>
    <col min="18" max="18" width="9.6640625" style="25" customWidth="1"/>
    <col min="19" max="19" width="10.1640625" style="25" customWidth="1"/>
    <col min="20" max="20" width="10.5" style="25" customWidth="1"/>
    <col min="21" max="21" width="12" style="25" customWidth="1"/>
    <col min="22" max="26" width="4.5" style="25" customWidth="1"/>
    <col min="27" max="27" width="36.83203125" style="25" customWidth="1"/>
    <col min="28" max="16384" width="8.83203125" style="25"/>
  </cols>
  <sheetData>
    <row r="1" spans="1:27">
      <c r="A1" s="108" t="s">
        <v>258</v>
      </c>
      <c r="B1" s="108"/>
      <c r="C1" s="108" t="s">
        <v>237</v>
      </c>
      <c r="D1" s="108"/>
      <c r="E1" s="108"/>
      <c r="F1" s="108" t="s">
        <v>238</v>
      </c>
      <c r="G1" s="108"/>
      <c r="H1" s="108"/>
      <c r="I1" s="108" t="s">
        <v>246</v>
      </c>
      <c r="J1" s="108"/>
      <c r="K1" s="108"/>
      <c r="L1" s="108" t="s">
        <v>247</v>
      </c>
      <c r="M1" s="108"/>
      <c r="N1" s="108"/>
      <c r="O1" s="108"/>
      <c r="P1" s="108"/>
      <c r="Q1" s="108" t="s">
        <v>253</v>
      </c>
      <c r="R1" s="108"/>
      <c r="S1" s="108"/>
      <c r="T1" s="108"/>
      <c r="U1" s="108"/>
      <c r="V1" s="108" t="s">
        <v>257</v>
      </c>
      <c r="W1" s="108"/>
      <c r="X1" s="108"/>
      <c r="Y1" s="108"/>
      <c r="Z1" s="108"/>
      <c r="AA1" s="108" t="s">
        <v>259</v>
      </c>
    </row>
    <row r="2" spans="1:27" ht="28">
      <c r="A2" s="40" t="s">
        <v>446</v>
      </c>
      <c r="B2" s="40" t="s">
        <v>236</v>
      </c>
      <c r="C2" s="41" t="s">
        <v>239</v>
      </c>
      <c r="D2" s="41" t="s">
        <v>240</v>
      </c>
      <c r="E2" s="41" t="s">
        <v>256</v>
      </c>
      <c r="F2" s="41" t="s">
        <v>239</v>
      </c>
      <c r="G2" s="41" t="s">
        <v>240</v>
      </c>
      <c r="H2" s="41" t="s">
        <v>256</v>
      </c>
      <c r="I2" s="41" t="s">
        <v>241</v>
      </c>
      <c r="J2" s="41" t="s">
        <v>245</v>
      </c>
      <c r="K2" s="40" t="s">
        <v>254</v>
      </c>
      <c r="L2" s="41" t="s">
        <v>241</v>
      </c>
      <c r="M2" s="41" t="s">
        <v>245</v>
      </c>
      <c r="N2" s="41" t="s">
        <v>243</v>
      </c>
      <c r="O2" s="41" t="s">
        <v>244</v>
      </c>
      <c r="P2" s="40" t="s">
        <v>255</v>
      </c>
      <c r="Q2" s="40" t="s">
        <v>251</v>
      </c>
      <c r="R2" s="40" t="s">
        <v>248</v>
      </c>
      <c r="S2" s="40" t="s">
        <v>249</v>
      </c>
      <c r="T2" s="40" t="s">
        <v>250</v>
      </c>
      <c r="U2" s="40" t="s">
        <v>252</v>
      </c>
      <c r="V2" s="40" t="s">
        <v>235</v>
      </c>
      <c r="W2" s="40" t="s">
        <v>97</v>
      </c>
      <c r="X2" s="40" t="s">
        <v>14</v>
      </c>
      <c r="Y2" s="40" t="s">
        <v>101</v>
      </c>
      <c r="Z2" s="40" t="s">
        <v>119</v>
      </c>
      <c r="AA2" s="108"/>
    </row>
    <row r="3" spans="1:27" ht="28">
      <c r="A3" s="107" t="s">
        <v>447</v>
      </c>
      <c r="B3" s="3" t="s">
        <v>448</v>
      </c>
    </row>
    <row r="4" spans="1:27" ht="28">
      <c r="A4" s="107"/>
      <c r="B4" s="3" t="s">
        <v>451</v>
      </c>
    </row>
    <row r="5" spans="1:27" ht="28">
      <c r="A5" s="107"/>
      <c r="B5" s="3" t="s">
        <v>450</v>
      </c>
    </row>
    <row r="6" spans="1:27" ht="28">
      <c r="A6" s="107"/>
      <c r="B6" s="3" t="s">
        <v>449</v>
      </c>
    </row>
    <row r="7" spans="1:27" ht="56">
      <c r="A7" s="107" t="s">
        <v>452</v>
      </c>
      <c r="B7" s="3" t="s">
        <v>453</v>
      </c>
    </row>
    <row r="8" spans="1:27" ht="42">
      <c r="A8" s="107"/>
      <c r="B8" s="3" t="s">
        <v>454</v>
      </c>
    </row>
    <row r="9" spans="1:27" ht="56">
      <c r="A9" s="107"/>
      <c r="B9" s="3" t="s">
        <v>455</v>
      </c>
    </row>
    <row r="10" spans="1:27" ht="42">
      <c r="A10" s="107"/>
      <c r="B10" s="3" t="s">
        <v>456</v>
      </c>
    </row>
    <row r="11" spans="1:27">
      <c r="A11" s="107" t="s">
        <v>457</v>
      </c>
      <c r="B11" s="3" t="s">
        <v>461</v>
      </c>
    </row>
    <row r="12" spans="1:27">
      <c r="A12" s="107"/>
      <c r="B12" s="3" t="s">
        <v>462</v>
      </c>
    </row>
    <row r="13" spans="1:27">
      <c r="A13" s="107"/>
      <c r="B13" s="3" t="s">
        <v>463</v>
      </c>
    </row>
    <row r="14" spans="1:27">
      <c r="A14" s="107"/>
      <c r="B14" s="3" t="s">
        <v>464</v>
      </c>
    </row>
    <row r="15" spans="1:27">
      <c r="A15" s="3" t="s">
        <v>460</v>
      </c>
    </row>
    <row r="16" spans="1:27">
      <c r="A16" s="25" t="s">
        <v>388</v>
      </c>
    </row>
    <row r="17" spans="1:1">
      <c r="A17" s="25" t="s">
        <v>390</v>
      </c>
    </row>
    <row r="18" spans="1:1">
      <c r="A18" s="25" t="s">
        <v>458</v>
      </c>
    </row>
    <row r="19" spans="1:1" ht="28">
      <c r="A19" s="3" t="s">
        <v>459</v>
      </c>
    </row>
    <row r="20" spans="1:1">
      <c r="A20" s="3" t="s">
        <v>385</v>
      </c>
    </row>
    <row r="21" spans="1:1">
      <c r="A21" s="3" t="s">
        <v>386</v>
      </c>
    </row>
    <row r="22" spans="1:1">
      <c r="A22" s="3" t="s">
        <v>387</v>
      </c>
    </row>
  </sheetData>
  <mergeCells count="11">
    <mergeCell ref="AA1:AA2"/>
    <mergeCell ref="I1:K1"/>
    <mergeCell ref="L1:P1"/>
    <mergeCell ref="Q1:U1"/>
    <mergeCell ref="C1:E1"/>
    <mergeCell ref="F1:H1"/>
    <mergeCell ref="A3:A6"/>
    <mergeCell ref="A7:A10"/>
    <mergeCell ref="A11:A14"/>
    <mergeCell ref="V1:Z1"/>
    <mergeCell ref="A1:B1"/>
  </mergeCells>
  <pageMargins left="0.7" right="0.7" top="0.75" bottom="0.75" header="0.3" footer="0.3"/>
  <pageSetup paperSize="9" scale="50" orientation="landscape" horizontalDpi="300" verticalDpi="300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"/>
  <sheetViews>
    <sheetView workbookViewId="0">
      <selection activeCell="E31" sqref="E31"/>
    </sheetView>
  </sheetViews>
  <sheetFormatPr baseColWidth="10" defaultColWidth="8.83203125" defaultRowHeight="14" x14ac:dyDescent="0"/>
  <cols>
    <col min="1" max="1" width="3" style="3" bestFit="1" customWidth="1"/>
    <col min="2" max="2" width="5" style="3" bestFit="1" customWidth="1"/>
    <col min="3" max="3" width="7.1640625" style="6" bestFit="1" customWidth="1"/>
    <col min="4" max="4" width="13.5" style="3" bestFit="1" customWidth="1"/>
    <col min="5" max="5" width="65.5" style="3" customWidth="1"/>
    <col min="6" max="16384" width="8.83203125" style="3"/>
  </cols>
  <sheetData>
    <row r="1" spans="1:5" ht="47.25" customHeight="1">
      <c r="A1" s="109" t="s">
        <v>234</v>
      </c>
      <c r="B1" s="109"/>
      <c r="C1" s="109"/>
      <c r="D1" s="109"/>
      <c r="E1" s="109"/>
    </row>
    <row r="2" spans="1:5">
      <c r="A2" s="3" t="s">
        <v>44</v>
      </c>
      <c r="B2" s="4" t="s">
        <v>0</v>
      </c>
      <c r="C2" s="5" t="s">
        <v>1</v>
      </c>
      <c r="D2" s="4" t="s">
        <v>2</v>
      </c>
      <c r="E2" s="4" t="s">
        <v>3</v>
      </c>
    </row>
    <row r="3" spans="1:5">
      <c r="A3" s="3">
        <v>1</v>
      </c>
      <c r="B3" s="3" t="s">
        <v>16</v>
      </c>
      <c r="C3" s="6" t="s">
        <v>20</v>
      </c>
      <c r="D3" s="3" t="s">
        <v>22</v>
      </c>
      <c r="E3" s="3" t="s">
        <v>28</v>
      </c>
    </row>
    <row r="4" spans="1:5">
      <c r="A4" s="3">
        <v>2</v>
      </c>
      <c r="B4" s="3" t="s">
        <v>16</v>
      </c>
      <c r="C4" s="6" t="s">
        <v>20</v>
      </c>
      <c r="D4" s="3" t="s">
        <v>22</v>
      </c>
      <c r="E4" s="3" t="s">
        <v>40</v>
      </c>
    </row>
    <row r="5" spans="1:5">
      <c r="A5" s="3">
        <v>3</v>
      </c>
      <c r="B5" s="3" t="s">
        <v>14</v>
      </c>
      <c r="C5" s="6">
        <v>3</v>
      </c>
      <c r="D5" s="3" t="s">
        <v>22</v>
      </c>
      <c r="E5" s="3" t="s">
        <v>42</v>
      </c>
    </row>
    <row r="6" spans="1:5">
      <c r="A6" s="3">
        <v>4</v>
      </c>
      <c r="B6" s="3" t="s">
        <v>14</v>
      </c>
      <c r="C6" s="6">
        <v>3</v>
      </c>
      <c r="D6" s="3" t="s">
        <v>22</v>
      </c>
      <c r="E6" s="3" t="s">
        <v>41</v>
      </c>
    </row>
    <row r="7" spans="1:5">
      <c r="A7" s="3">
        <v>5</v>
      </c>
      <c r="B7" s="3" t="s">
        <v>16</v>
      </c>
      <c r="C7" s="6" t="s">
        <v>20</v>
      </c>
      <c r="D7" s="3" t="s">
        <v>21</v>
      </c>
      <c r="E7" s="3" t="s">
        <v>24</v>
      </c>
    </row>
    <row r="8" spans="1:5">
      <c r="A8" s="3">
        <v>6</v>
      </c>
      <c r="B8" s="3" t="s">
        <v>16</v>
      </c>
      <c r="C8" s="6" t="s">
        <v>20</v>
      </c>
      <c r="D8" s="3" t="s">
        <v>21</v>
      </c>
      <c r="E8" s="3" t="s">
        <v>25</v>
      </c>
    </row>
    <row r="9" spans="1:5">
      <c r="A9" s="3">
        <v>7</v>
      </c>
      <c r="B9" s="3" t="s">
        <v>16</v>
      </c>
      <c r="C9" s="6" t="s">
        <v>20</v>
      </c>
      <c r="D9" s="3" t="s">
        <v>21</v>
      </c>
      <c r="E9" s="3" t="s">
        <v>39</v>
      </c>
    </row>
    <row r="10" spans="1:5" ht="28">
      <c r="A10" s="3">
        <v>8</v>
      </c>
      <c r="B10" s="3" t="s">
        <v>16</v>
      </c>
      <c r="C10" s="6" t="s">
        <v>20</v>
      </c>
      <c r="D10" s="3" t="s">
        <v>35</v>
      </c>
      <c r="E10" s="3" t="s">
        <v>36</v>
      </c>
    </row>
    <row r="11" spans="1:5" ht="28">
      <c r="A11" s="3">
        <v>9</v>
      </c>
      <c r="B11" s="3" t="s">
        <v>16</v>
      </c>
      <c r="C11" s="6" t="s">
        <v>20</v>
      </c>
      <c r="D11" s="3" t="s">
        <v>35</v>
      </c>
      <c r="E11" s="3" t="s">
        <v>37</v>
      </c>
    </row>
    <row r="12" spans="1:5">
      <c r="A12" s="3">
        <v>10</v>
      </c>
      <c r="B12" s="3" t="s">
        <v>16</v>
      </c>
      <c r="C12" s="6" t="s">
        <v>20</v>
      </c>
      <c r="D12" s="3" t="s">
        <v>23</v>
      </c>
      <c r="E12" s="3" t="s">
        <v>26</v>
      </c>
    </row>
    <row r="13" spans="1:5">
      <c r="A13" s="3">
        <v>11</v>
      </c>
      <c r="B13" s="3" t="s">
        <v>14</v>
      </c>
      <c r="C13" s="6">
        <v>5</v>
      </c>
      <c r="D13" s="3" t="s">
        <v>23</v>
      </c>
      <c r="E13" s="3" t="s">
        <v>27</v>
      </c>
    </row>
    <row r="14" spans="1:5">
      <c r="A14" s="3">
        <v>12</v>
      </c>
      <c r="B14" s="3" t="s">
        <v>16</v>
      </c>
      <c r="C14" s="6" t="s">
        <v>20</v>
      </c>
      <c r="D14" s="3" t="s">
        <v>23</v>
      </c>
      <c r="E14" s="3" t="s">
        <v>30</v>
      </c>
    </row>
    <row r="15" spans="1:5">
      <c r="A15" s="3">
        <v>13</v>
      </c>
      <c r="B15" s="3" t="s">
        <v>14</v>
      </c>
      <c r="C15" s="6">
        <v>4</v>
      </c>
      <c r="D15" s="3" t="s">
        <v>23</v>
      </c>
      <c r="E15" s="3" t="s">
        <v>31</v>
      </c>
    </row>
    <row r="16" spans="1:5">
      <c r="A16" s="3">
        <v>14</v>
      </c>
      <c r="B16" s="3" t="s">
        <v>14</v>
      </c>
      <c r="C16" s="6">
        <v>4</v>
      </c>
      <c r="D16" s="3" t="s">
        <v>23</v>
      </c>
      <c r="E16" s="3" t="s">
        <v>32</v>
      </c>
    </row>
    <row r="17" spans="1:5">
      <c r="A17" s="3">
        <v>15</v>
      </c>
      <c r="B17" s="3" t="s">
        <v>16</v>
      </c>
      <c r="C17" s="6" t="s">
        <v>20</v>
      </c>
      <c r="D17" s="3" t="s">
        <v>23</v>
      </c>
      <c r="E17" s="3" t="s">
        <v>33</v>
      </c>
    </row>
    <row r="18" spans="1:5">
      <c r="A18" s="3">
        <v>16</v>
      </c>
      <c r="B18" s="3" t="s">
        <v>16</v>
      </c>
      <c r="C18" s="6" t="s">
        <v>20</v>
      </c>
      <c r="D18" s="3" t="s">
        <v>23</v>
      </c>
      <c r="E18" s="3" t="s">
        <v>34</v>
      </c>
    </row>
    <row r="19" spans="1:5">
      <c r="A19" s="3">
        <v>17</v>
      </c>
      <c r="B19" s="3" t="s">
        <v>14</v>
      </c>
      <c r="C19" s="6">
        <v>5</v>
      </c>
      <c r="D19" s="3" t="s">
        <v>23</v>
      </c>
      <c r="E19" s="3" t="s">
        <v>9</v>
      </c>
    </row>
    <row r="20" spans="1:5">
      <c r="A20" s="3">
        <v>18</v>
      </c>
      <c r="B20" s="3" t="s">
        <v>16</v>
      </c>
      <c r="C20" s="6" t="s">
        <v>20</v>
      </c>
      <c r="D20" s="3" t="s">
        <v>23</v>
      </c>
      <c r="E20" s="3" t="s">
        <v>38</v>
      </c>
    </row>
    <row r="21" spans="1:5">
      <c r="A21" s="3">
        <v>19</v>
      </c>
      <c r="B21" s="3" t="s">
        <v>16</v>
      </c>
      <c r="C21" s="6" t="s">
        <v>20</v>
      </c>
      <c r="D21" s="3" t="s">
        <v>11</v>
      </c>
      <c r="E21" s="7" t="s">
        <v>43</v>
      </c>
    </row>
    <row r="22" spans="1:5">
      <c r="A22" s="3">
        <v>20</v>
      </c>
      <c r="B22" s="3" t="s">
        <v>16</v>
      </c>
      <c r="C22" s="6" t="s">
        <v>20</v>
      </c>
      <c r="D22" s="3" t="s">
        <v>11</v>
      </c>
      <c r="E22" s="3" t="s">
        <v>29</v>
      </c>
    </row>
    <row r="23" spans="1:5">
      <c r="A23" s="3">
        <v>21</v>
      </c>
      <c r="B23" s="3" t="s">
        <v>14</v>
      </c>
      <c r="C23" s="6">
        <v>4</v>
      </c>
      <c r="D23" s="3" t="s">
        <v>11</v>
      </c>
      <c r="E23" s="3" t="s">
        <v>12</v>
      </c>
    </row>
    <row r="24" spans="1:5">
      <c r="A24" s="3">
        <v>22</v>
      </c>
      <c r="B24" s="3" t="s">
        <v>14</v>
      </c>
      <c r="C24" s="6">
        <v>3</v>
      </c>
      <c r="D24" s="3" t="s">
        <v>11</v>
      </c>
      <c r="E24" s="3" t="s">
        <v>13</v>
      </c>
    </row>
    <row r="25" spans="1:5">
      <c r="A25" s="3">
        <v>23</v>
      </c>
      <c r="B25" s="3" t="s">
        <v>16</v>
      </c>
      <c r="C25" s="6" t="s">
        <v>20</v>
      </c>
      <c r="D25" s="3" t="s">
        <v>11</v>
      </c>
      <c r="E25" s="3" t="s">
        <v>15</v>
      </c>
    </row>
    <row r="26" spans="1:5">
      <c r="A26" s="3">
        <v>24</v>
      </c>
      <c r="B26" s="3" t="s">
        <v>14</v>
      </c>
      <c r="C26" s="6">
        <v>4</v>
      </c>
      <c r="D26" s="3" t="s">
        <v>11</v>
      </c>
      <c r="E26" s="3" t="s">
        <v>17</v>
      </c>
    </row>
    <row r="27" spans="1:5">
      <c r="A27" s="3">
        <v>25</v>
      </c>
      <c r="B27" s="3" t="s">
        <v>16</v>
      </c>
      <c r="C27" s="6" t="s">
        <v>20</v>
      </c>
      <c r="D27" s="3" t="s">
        <v>11</v>
      </c>
      <c r="E27" s="3" t="s">
        <v>18</v>
      </c>
    </row>
    <row r="28" spans="1:5">
      <c r="A28" s="3">
        <v>26</v>
      </c>
      <c r="B28" s="3" t="s">
        <v>16</v>
      </c>
      <c r="C28" s="6" t="s">
        <v>20</v>
      </c>
      <c r="D28" s="3" t="s">
        <v>11</v>
      </c>
      <c r="E28" s="3" t="s">
        <v>19</v>
      </c>
    </row>
  </sheetData>
  <autoFilter ref="A2:E28">
    <sortState ref="A3:E28">
      <sortCondition ref="A2:A28"/>
    </sortState>
  </autoFilter>
  <mergeCells count="1">
    <mergeCell ref="A1:E1"/>
  </mergeCells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bike spec</vt:lpstr>
      <vt:lpstr>test methods</vt:lpstr>
      <vt:lpstr>market breakdown</vt:lpstr>
      <vt:lpstr>geometry study</vt:lpstr>
      <vt:lpstr>component study</vt:lpstr>
      <vt:lpstr>avtech</vt:lpstr>
      <vt:lpstr>avtech eval</vt:lpstr>
      <vt:lpstr>kit spec</vt:lpstr>
    </vt:vector>
  </TitlesOfParts>
  <Company>University of Bath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Hannah Rosen</dc:creator>
  <cp:lastModifiedBy>Hannah Hinds</cp:lastModifiedBy>
  <cp:lastPrinted>2020-02-28T12:03:53Z</cp:lastPrinted>
  <dcterms:created xsi:type="dcterms:W3CDTF">2020-02-10T14:58:41Z</dcterms:created>
  <dcterms:modified xsi:type="dcterms:W3CDTF">2020-03-04T18:48:36Z</dcterms:modified>
</cp:coreProperties>
</file>