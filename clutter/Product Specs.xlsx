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myfiles\hrh33\dos\FYP Adjustabike\clutter\"/>
    </mc:Choice>
  </mc:AlternateContent>
  <xr:revisionPtr revIDLastSave="0" documentId="13_ncr:1_{8509E145-C5BF-4204-8470-6A7DA2F77B08}" xr6:coauthVersionLast="44" xr6:coauthVersionMax="44" xr10:uidLastSave="{00000000-0000-0000-0000-000000000000}"/>
  <bookViews>
    <workbookView xWindow="-120" yWindow="-120" windowWidth="29040" windowHeight="15840" xr2:uid="{0B1A8BE2-F423-4BD1-B9C4-448950125A23}"/>
  </bookViews>
  <sheets>
    <sheet name="bike" sheetId="1" r:id="rId1"/>
    <sheet name="kit" sheetId="2" r:id="rId2"/>
    <sheet name="geometries" sheetId="3" r:id="rId3"/>
  </sheets>
  <definedNames>
    <definedName name="_xlnm._FilterDatabase" localSheetId="0" hidden="1">bike!$A$2:$F$64</definedName>
    <definedName name="_xlnm._FilterDatabase" localSheetId="1" hidden="1">kit!$A$2:$E$28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R4" i="3"/>
  <c r="J3" i="3"/>
  <c r="K3" i="3"/>
  <c r="L3" i="3"/>
  <c r="M3" i="3"/>
  <c r="N3" i="3"/>
  <c r="O3" i="3"/>
  <c r="P3" i="3"/>
  <c r="R3" i="3"/>
  <c r="R5" i="3"/>
  <c r="P5" i="3"/>
  <c r="O5" i="3"/>
  <c r="N5" i="3"/>
  <c r="M5" i="3"/>
  <c r="L5" i="3"/>
  <c r="K5" i="3"/>
  <c r="J5" i="3"/>
  <c r="R13" i="3"/>
  <c r="R12" i="3"/>
  <c r="P13" i="3"/>
  <c r="P12" i="3"/>
  <c r="O13" i="3"/>
  <c r="O12" i="3"/>
  <c r="N13" i="3"/>
  <c r="N12" i="3"/>
  <c r="M13" i="3"/>
  <c r="M12" i="3"/>
  <c r="L13" i="3"/>
  <c r="L12" i="3"/>
  <c r="K13" i="3"/>
  <c r="K12" i="3"/>
  <c r="J13" i="3"/>
  <c r="J12" i="3"/>
  <c r="R9" i="3"/>
  <c r="R8" i="3"/>
  <c r="P9" i="3"/>
  <c r="P8" i="3"/>
  <c r="O9" i="3"/>
  <c r="O8" i="3"/>
  <c r="N9" i="3"/>
  <c r="N8" i="3"/>
  <c r="M9" i="3"/>
  <c r="M8" i="3"/>
  <c r="L9" i="3"/>
  <c r="L8" i="3"/>
  <c r="K8" i="3" l="1"/>
  <c r="K9" i="3"/>
  <c r="J8" i="3"/>
  <c r="J9" i="3"/>
  <c r="E48" i="3"/>
  <c r="E49" i="3"/>
  <c r="E47" i="3"/>
  <c r="E43" i="3"/>
  <c r="E42" i="3"/>
  <c r="E41" i="3"/>
  <c r="E40" i="3"/>
  <c r="E39" i="3"/>
  <c r="E35" i="3"/>
  <c r="E34" i="3"/>
  <c r="E33" i="3"/>
  <c r="E32" i="3"/>
  <c r="E31" i="3"/>
  <c r="E24" i="3"/>
  <c r="E25" i="3"/>
  <c r="E26" i="3"/>
  <c r="E27" i="3"/>
  <c r="E23" i="3"/>
  <c r="E15" i="3"/>
  <c r="E16" i="3"/>
  <c r="E17" i="3"/>
  <c r="E18" i="3"/>
  <c r="E19" i="3"/>
  <c r="E14" i="3"/>
  <c r="G6" i="3"/>
  <c r="G7" i="3"/>
  <c r="G8" i="3"/>
  <c r="G9" i="3"/>
  <c r="G10" i="3"/>
  <c r="G5" i="3"/>
</calcChain>
</file>

<file path=xl/sharedStrings.xml><?xml version="1.0" encoding="utf-8"?>
<sst xmlns="http://schemas.openxmlformats.org/spreadsheetml/2006/main" count="591" uniqueCount="223">
  <si>
    <t>D/W</t>
  </si>
  <si>
    <t>weight</t>
  </si>
  <si>
    <t>category</t>
  </si>
  <si>
    <t>requirement</t>
  </si>
  <si>
    <t>wheels</t>
  </si>
  <si>
    <t>seat</t>
  </si>
  <si>
    <t>Crank length between * and *</t>
  </si>
  <si>
    <t>steering</t>
  </si>
  <si>
    <t>braking</t>
  </si>
  <si>
    <t>safety</t>
  </si>
  <si>
    <t>All materials weather resistant</t>
  </si>
  <si>
    <t>SPECIFICATION for DIY Bicycle</t>
  </si>
  <si>
    <t>All fastenings must resist load and vibration</t>
  </si>
  <si>
    <t>assembly</t>
  </si>
  <si>
    <t>Maximum assembly time: *</t>
  </si>
  <si>
    <t>No tooling required</t>
  </si>
  <si>
    <t>W</t>
  </si>
  <si>
    <t>Only simple tooling required</t>
  </si>
  <si>
    <t>D</t>
  </si>
  <si>
    <t>Can assemble with one person without a jig</t>
  </si>
  <si>
    <t>Can assemble with two people without a jig</t>
  </si>
  <si>
    <t xml:space="preserve">Non-destructive assembly </t>
  </si>
  <si>
    <t>-</t>
  </si>
  <si>
    <t>links</t>
  </si>
  <si>
    <t>joints</t>
  </si>
  <si>
    <t>manufacture</t>
  </si>
  <si>
    <t>Max weight/metre of *</t>
  </si>
  <si>
    <t>The following lengths should be possible: * * *</t>
  </si>
  <si>
    <t>Maximum cost of *</t>
  </si>
  <si>
    <t>Minimise cost</t>
  </si>
  <si>
    <t>The following angles should be possible: * * *</t>
  </si>
  <si>
    <t xml:space="preserve">Assemble securely </t>
  </si>
  <si>
    <t>Possible to manufacture safely with only the tools available to a layman</t>
  </si>
  <si>
    <t>Possible to manufacture with one person (can use vices to secure work)</t>
  </si>
  <si>
    <t>Maximum manufacture time for basic kit: *</t>
  </si>
  <si>
    <t>All components commercially available to a layman</t>
  </si>
  <si>
    <t>Consistent/repeatable from documentation</t>
  </si>
  <si>
    <t>other systems</t>
  </si>
  <si>
    <t>Components for other systems (ie wheels, brakes, pedals, drive, steering, seat) selected to satisfy bike requirements</t>
  </si>
  <si>
    <t>Attachment for other systems (ie wheels, brakes, pedals, drive, steering, seat) designed to satisfy bike requirements</t>
  </si>
  <si>
    <t>All parts compatible</t>
  </si>
  <si>
    <t>Minimum load of * in tension/compression and * bending</t>
  </si>
  <si>
    <t>Minimum 'gripping' force of * and resistance to torque of *</t>
  </si>
  <si>
    <t>Possibility of a different length without cutting link</t>
  </si>
  <si>
    <t>Possibility of a different angle without using a different joint</t>
  </si>
  <si>
    <t>"Standard" bike geometry and at least one other geometry possible</t>
  </si>
  <si>
    <t>#</t>
  </si>
  <si>
    <t>size</t>
  </si>
  <si>
    <t>rider height</t>
  </si>
  <si>
    <t>stack</t>
  </si>
  <si>
    <t>reach</t>
  </si>
  <si>
    <t>min</t>
  </si>
  <si>
    <t>max</t>
  </si>
  <si>
    <t>M sm</t>
  </si>
  <si>
    <t>M md</t>
  </si>
  <si>
    <t>M lg</t>
  </si>
  <si>
    <t>W sm</t>
  </si>
  <si>
    <t>W md</t>
  </si>
  <si>
    <t>W lg</t>
  </si>
  <si>
    <t>from hybrid bike boardman mtx 8.8 (cm)</t>
  </si>
  <si>
    <t>from hybrid bike cannondale adventure 2</t>
  </si>
  <si>
    <t>M xl</t>
  </si>
  <si>
    <t>W tl</t>
  </si>
  <si>
    <t>from hybrid bike canondale quick cx 4</t>
  </si>
  <si>
    <t>sm</t>
  </si>
  <si>
    <t>md</t>
  </si>
  <si>
    <t>lg</t>
  </si>
  <si>
    <t>xlg</t>
  </si>
  <si>
    <t>2xl</t>
  </si>
  <si>
    <t>SM</t>
  </si>
  <si>
    <t>MD</t>
  </si>
  <si>
    <t>LG</t>
  </si>
  <si>
    <t>XL</t>
  </si>
  <si>
    <t>2XL</t>
  </si>
  <si>
    <r>
      <t>A </t>
    </r>
    <r>
      <rPr>
        <sz val="11"/>
        <color rgb="FF222222"/>
        <rFont val="Arial"/>
        <family val="2"/>
      </rPr>
      <t>Seat Tube Length</t>
    </r>
  </si>
  <si>
    <r>
      <t>B </t>
    </r>
    <r>
      <rPr>
        <sz val="11"/>
        <color rgb="FF222222"/>
        <rFont val="Arial"/>
        <family val="2"/>
      </rPr>
      <t>Top Tube Length</t>
    </r>
  </si>
  <si>
    <r>
      <t>D </t>
    </r>
    <r>
      <rPr>
        <sz val="11"/>
        <color rgb="FF222222"/>
        <rFont val="Arial"/>
        <family val="2"/>
      </rPr>
      <t>Head Tube Angle</t>
    </r>
  </si>
  <si>
    <t>70.0°</t>
  </si>
  <si>
    <r>
      <t>E</t>
    </r>
    <r>
      <rPr>
        <sz val="7"/>
        <color rgb="FF222222"/>
        <rFont val="Courier New"/>
        <family val="3"/>
      </rPr>
      <t>1</t>
    </r>
    <r>
      <rPr>
        <sz val="11"/>
        <color rgb="FF222222"/>
        <rFont val="Courier New"/>
        <family val="3"/>
      </rPr>
      <t> </t>
    </r>
    <r>
      <rPr>
        <sz val="11"/>
        <color rgb="FF222222"/>
        <rFont val="Arial"/>
        <family val="2"/>
      </rPr>
      <t>Seat Tube Angle Effective</t>
    </r>
  </si>
  <si>
    <t>73.0°</t>
  </si>
  <si>
    <r>
      <t>F </t>
    </r>
    <r>
      <rPr>
        <sz val="11"/>
        <color rgb="FF222222"/>
        <rFont val="Arial"/>
        <family val="2"/>
      </rPr>
      <t>Standover</t>
    </r>
  </si>
  <si>
    <r>
      <t>G </t>
    </r>
    <r>
      <rPr>
        <sz val="11"/>
        <color rgb="FF222222"/>
        <rFont val="Arial"/>
        <family val="2"/>
      </rPr>
      <t>Head Tube Length</t>
    </r>
  </si>
  <si>
    <r>
      <t>H </t>
    </r>
    <r>
      <rPr>
        <sz val="11"/>
        <color rgb="FF222222"/>
        <rFont val="Arial"/>
        <family val="2"/>
      </rPr>
      <t>Wheelbase</t>
    </r>
  </si>
  <si>
    <r>
      <t>I </t>
    </r>
    <r>
      <rPr>
        <sz val="11"/>
        <color rgb="FF222222"/>
        <rFont val="Arial"/>
        <family val="2"/>
      </rPr>
      <t>Front Center</t>
    </r>
  </si>
  <si>
    <r>
      <t>J </t>
    </r>
    <r>
      <rPr>
        <sz val="11"/>
        <color rgb="FF222222"/>
        <rFont val="Arial"/>
        <family val="2"/>
      </rPr>
      <t>Chain Stay Length</t>
    </r>
  </si>
  <si>
    <r>
      <t>K </t>
    </r>
    <r>
      <rPr>
        <sz val="11"/>
        <color rgb="FF222222"/>
        <rFont val="Arial"/>
        <family val="2"/>
      </rPr>
      <t>Bottom Bracket Drop</t>
    </r>
  </si>
  <si>
    <r>
      <t>L </t>
    </r>
    <r>
      <rPr>
        <sz val="11"/>
        <color rgb="FF222222"/>
        <rFont val="Arial"/>
        <family val="2"/>
      </rPr>
      <t>Estimated BB Height</t>
    </r>
  </si>
  <si>
    <r>
      <t>M </t>
    </r>
    <r>
      <rPr>
        <sz val="11"/>
        <color rgb="FF222222"/>
        <rFont val="Arial"/>
        <family val="2"/>
      </rPr>
      <t>Fork Rake</t>
    </r>
  </si>
  <si>
    <r>
      <t>N </t>
    </r>
    <r>
      <rPr>
        <sz val="11"/>
        <color rgb="FF222222"/>
        <rFont val="Arial"/>
        <family val="2"/>
      </rPr>
      <t>Trail</t>
    </r>
  </si>
  <si>
    <r>
      <t>O </t>
    </r>
    <r>
      <rPr>
        <sz val="11"/>
        <color rgb="FF222222"/>
        <rFont val="Arial"/>
        <family val="2"/>
      </rPr>
      <t>Stack</t>
    </r>
  </si>
  <si>
    <r>
      <t>P </t>
    </r>
    <r>
      <rPr>
        <sz val="11"/>
        <color rgb="FF222222"/>
        <rFont val="Arial"/>
        <family val="2"/>
      </rPr>
      <t>Reach</t>
    </r>
  </si>
  <si>
    <t>xsm</t>
  </si>
  <si>
    <t>hyp</t>
  </si>
  <si>
    <t>from cannondale quick women's 8</t>
  </si>
  <si>
    <t>tl</t>
  </si>
  <si>
    <t>XS</t>
  </si>
  <si>
    <t>S</t>
  </si>
  <si>
    <t>M</t>
  </si>
  <si>
    <t>L</t>
  </si>
  <si>
    <t>B</t>
  </si>
  <si>
    <t>SEAT TUBE ANGLE</t>
  </si>
  <si>
    <t>74.0°</t>
  </si>
  <si>
    <t>73.5°</t>
  </si>
  <si>
    <t>C</t>
  </si>
  <si>
    <t>E</t>
  </si>
  <si>
    <t>HEAD TUBE ANGLE</t>
  </si>
  <si>
    <t>71.0°</t>
  </si>
  <si>
    <t>H</t>
  </si>
  <si>
    <t>I</t>
  </si>
  <si>
    <t>K</t>
  </si>
  <si>
    <t>P</t>
  </si>
  <si>
    <t>TOP TUBE LENGTH (mm)</t>
  </si>
  <si>
    <t>HEAD TUBE LENGTH (mm)</t>
  </si>
  <si>
    <t>WHEELBASE (mm)</t>
  </si>
  <si>
    <t>CHAIN STAY LENGTH (mm)</t>
  </si>
  <si>
    <t>STACK (mm)</t>
  </si>
  <si>
    <t>REACH (mm)</t>
  </si>
  <si>
    <t>STAND OVER HEIGHT (mm)</t>
  </si>
  <si>
    <t>CRANK LENGTH (mm)</t>
  </si>
  <si>
    <t>Tyre width between * and *</t>
  </si>
  <si>
    <t>A</t>
  </si>
  <si>
    <t>67.0°</t>
  </si>
  <si>
    <t>F</t>
  </si>
  <si>
    <t>G</t>
  </si>
  <si>
    <t>J</t>
  </si>
  <si>
    <t>N</t>
  </si>
  <si>
    <t>O</t>
  </si>
  <si>
    <t>Q</t>
  </si>
  <si>
    <t>WHEEL SIZE</t>
  </si>
  <si>
    <t>27.5"</t>
  </si>
  <si>
    <t>SEAT TUBE LENGTH (mm)</t>
  </si>
  <si>
    <t>FORK RAKE (mm)</t>
  </si>
  <si>
    <t>TRAIL (mm)</t>
  </si>
  <si>
    <t>BOTTOM BRACKET DROP (mm)</t>
  </si>
  <si>
    <t>HANDLEBAR WIDTH (mm)</t>
  </si>
  <si>
    <t>STEM LENGTH (mm)</t>
  </si>
  <si>
    <t>from mtb giant fathom 1 2020</t>
  </si>
  <si>
    <t>ML</t>
  </si>
  <si>
    <t>74.8°</t>
  </si>
  <si>
    <t>72.5°</t>
  </si>
  <si>
    <t>71.8°</t>
  </si>
  <si>
    <t>700C</t>
  </si>
  <si>
    <t>from road bike giant contend 1 2020</t>
  </si>
  <si>
    <t>hybrid</t>
  </si>
  <si>
    <t>wheelbase</t>
  </si>
  <si>
    <t>trail</t>
  </si>
  <si>
    <t>rake</t>
  </si>
  <si>
    <t>bb drop</t>
  </si>
  <si>
    <t>standover</t>
  </si>
  <si>
    <t>crank</t>
  </si>
  <si>
    <t>general</t>
  </si>
  <si>
    <t>from hybrid bike canondale quick 4*</t>
  </si>
  <si>
    <t>from giant escape 3**</t>
  </si>
  <si>
    <t>from hybrid giant escape 3**</t>
  </si>
  <si>
    <t>size small</t>
  </si>
  <si>
    <t>mtb</t>
  </si>
  <si>
    <t>road</t>
  </si>
  <si>
    <t>crank length</t>
  </si>
  <si>
    <t>justification</t>
  </si>
  <si>
    <t>Max. clearance between rider's knees of 250mm</t>
  </si>
  <si>
    <t>Must be propelled by pedalling</t>
  </si>
  <si>
    <t>Must be able to steer using handlebars</t>
  </si>
  <si>
    <t>Must operate on two wheels</t>
  </si>
  <si>
    <t>Must be suitable for a rider up to 100kg</t>
  </si>
  <si>
    <t>misc</t>
  </si>
  <si>
    <t>frame</t>
  </si>
  <si>
    <t>drivetrain</t>
  </si>
  <si>
    <t>misc.</t>
  </si>
  <si>
    <t>Should be able to assemble with one person without a jig</t>
  </si>
  <si>
    <t>Must be able to  assemble with two people without a jig</t>
  </si>
  <si>
    <t>Assembly process must be non-destructive</t>
  </si>
  <si>
    <t>At least two independently actuated brakes</t>
  </si>
  <si>
    <t>At least one brake acting on each wheel</t>
  </si>
  <si>
    <t>Max/ stopping distance of *  from * m/s dry or * from * km/h wet using both brakes</t>
  </si>
  <si>
    <t>Max/ stopping distance of *  from * m/s dry or * from * km/h wet using rear brake only</t>
  </si>
  <si>
    <t>Pedal/crank/bottom bracket assembly should rotate smoothly with no wobble or binding for easy pedalling</t>
  </si>
  <si>
    <t>Minimum nominal efficiency of 90%</t>
  </si>
  <si>
    <t>If using chain or belt, tensile strength must be at least *</t>
  </si>
  <si>
    <t>Assembled drive system must be able to withstand a perpendicular force of * exerted on the pedal with the driven wheel clamped</t>
  </si>
  <si>
    <t>Must be able to adjust tension and alignment of transmission</t>
  </si>
  <si>
    <t>Must have a seat for rider to sit on</t>
  </si>
  <si>
    <t>Should be able to adjust stack between * and *</t>
  </si>
  <si>
    <t>Should be able to adjust reach between * and *</t>
  </si>
  <si>
    <t>Should be able to adjust wheelbase between * and *</t>
  </si>
  <si>
    <t>Should be able to adjust frame to suit riders between 1400mm to 2000mm in height</t>
  </si>
  <si>
    <t>Must be able to assemble with only simple tooling</t>
  </si>
  <si>
    <t>Should be able to assemble with no tooling</t>
  </si>
  <si>
    <t>Should minimise cost of components and raw materials</t>
  </si>
  <si>
    <t>Must be possible to manufacture components safely with only the tools available to a layman</t>
  </si>
  <si>
    <t>Should be possible to manufacture components safely with  only one person (can use vices to secure work)</t>
  </si>
  <si>
    <t>Should be able to manufacture all bike components in * hours</t>
  </si>
  <si>
    <t>All components must be commercially available to a layman</t>
  </si>
  <si>
    <t>Sourcing materials and manufacturing methods must be consistent/repeatable from documentation</t>
  </si>
  <si>
    <t>All parts must be compatible to allow for flexibility</t>
  </si>
  <si>
    <t>Maximum total weight of 30kg</t>
  </si>
  <si>
    <t>Target total weight of 15kg</t>
  </si>
  <si>
    <t>Seat must be securely attached</t>
  </si>
  <si>
    <t>Should be able to adjust seat height between * and *</t>
  </si>
  <si>
    <t>Should be able to adjust horizontal position +/- * from centre</t>
  </si>
  <si>
    <t>All materials must be weather resistant</t>
  </si>
  <si>
    <t>A safety factor of * should be used during design calculations</t>
  </si>
  <si>
    <t>There must be no sharp protruding edges</t>
  </si>
  <si>
    <t>Fatigue strength after 10,000 cycles must still be safe</t>
  </si>
  <si>
    <t>PBSR</t>
  </si>
  <si>
    <t>Any hand-operated brakes must be arranged left-hand rear, right-hand front</t>
  </si>
  <si>
    <t>UKSI 19831176</t>
  </si>
  <si>
    <t>PBSR, RVLR</t>
  </si>
  <si>
    <t>Must have or be able to attach front and rear reflectors to the pedals</t>
  </si>
  <si>
    <t>RVLR</t>
  </si>
  <si>
    <t>Must be able to attach front and rear lights and reflectors, and a bell</t>
  </si>
  <si>
    <t>Handlebars, stem, and fork must rotate smoothly in headset with no wobble</t>
  </si>
  <si>
    <t>Handlebar width must be between * and *</t>
  </si>
  <si>
    <t>The range of motion of the handlebars must be at least +/- * from straight ahead</t>
  </si>
  <si>
    <t>Handlebar grip nominal diameter must be between * and *</t>
  </si>
  <si>
    <t>Wheel diameter must be between * and *</t>
  </si>
  <si>
    <t>Wheels must rotate smoothly around axles with a runout tolerance of less than * axially and * radially</t>
  </si>
  <si>
    <t>Hub bearings must have an effective coefficient of friction of less than 0.01</t>
  </si>
  <si>
    <t>Must be able to source all components and raw materials for £* or less</t>
  </si>
  <si>
    <t>Maintainance (ie. servicing bearings) must be required twice a year or less by a typical user</t>
  </si>
  <si>
    <t xml:space="preserve">Wheelbase must be between *mm and *mm </t>
  </si>
  <si>
    <t xml:space="preserve">Stack must be between *mm and *mm </t>
  </si>
  <si>
    <t xml:space="preserve">Reach must be between *mm and *mm </t>
  </si>
  <si>
    <t xml:space="preserve">Seat height must be between *mm and *mm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</si>
</sst>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222222"/>
      <name val="Courier New"/>
      <family val="3"/>
    </font>
    <font>
      <sz val="11"/>
      <color rgb="FF222222"/>
      <name val="Arial"/>
      <family val="2"/>
    </font>
    <font>
      <sz val="7"/>
      <color rgb="FF222222"/>
      <name val="Courier New"/>
      <family val="3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quotePrefix="1" applyAlignment="1">
      <alignment wrapText="1"/>
    </xf>
    <xf numFmtId="16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left" indent="1"/>
    </xf>
    <xf numFmtId="0" fontId="3" fillId="2" borderId="1" xfId="0" applyFont="1" applyFill="1" applyBorder="1" applyAlignment="1">
      <alignment indent="1"/>
    </xf>
    <xf numFmtId="0" fontId="0" fillId="3" borderId="0" xfId="0" applyFill="1"/>
    <xf numFmtId="164" fontId="0" fillId="3" borderId="0" xfId="0" applyNumberFormat="1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indent="1"/>
    </xf>
    <xf numFmtId="0" fontId="0" fillId="0" borderId="0" xfId="0" applyAlignment="1">
      <alignment horizontal="right"/>
    </xf>
    <xf numFmtId="0" fontId="0" fillId="4" borderId="0" xfId="0" applyFill="1"/>
    <xf numFmtId="0" fontId="0" fillId="4" borderId="0" xfId="0" applyFill="1" applyAlignment="1">
      <alignment horizontal="right"/>
    </xf>
    <xf numFmtId="0" fontId="0" fillId="0" borderId="2" xfId="0" applyBorder="1"/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2" xfId="0" applyBorder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0" fillId="0" borderId="0" xfId="0" applyAlignment="1"/>
    <xf numFmtId="0" fontId="0" fillId="0" borderId="2" xfId="0" applyFill="1" applyBorder="1"/>
    <xf numFmtId="1" fontId="0" fillId="0" borderId="2" xfId="0" applyNumberFormat="1" applyBorder="1"/>
    <xf numFmtId="1" fontId="0" fillId="0" borderId="0" xfId="0" applyNumberFormat="1"/>
    <xf numFmtId="0" fontId="0" fillId="5" borderId="2" xfId="0" applyFill="1" applyBorder="1" applyAlignment="1">
      <alignment horizontal="right"/>
    </xf>
    <xf numFmtId="1" fontId="0" fillId="5" borderId="2" xfId="0" applyNumberFormat="1" applyFill="1" applyBorder="1"/>
    <xf numFmtId="0" fontId="0" fillId="5" borderId="2" xfId="0" applyFill="1" applyBorder="1"/>
    <xf numFmtId="0" fontId="0" fillId="7" borderId="2" xfId="0" applyFill="1" applyBorder="1" applyAlignment="1">
      <alignment horizontal="right"/>
    </xf>
    <xf numFmtId="1" fontId="0" fillId="7" borderId="2" xfId="0" applyNumberFormat="1" applyFill="1" applyBorder="1"/>
    <xf numFmtId="0" fontId="0" fillId="7" borderId="2" xfId="0" applyFill="1" applyBorder="1"/>
    <xf numFmtId="0" fontId="0" fillId="8" borderId="2" xfId="0" applyFill="1" applyBorder="1" applyAlignment="1">
      <alignment horizontal="right"/>
    </xf>
    <xf numFmtId="1" fontId="0" fillId="8" borderId="2" xfId="0" applyNumberFormat="1" applyFill="1" applyBorder="1"/>
    <xf numFmtId="0" fontId="0" fillId="8" borderId="2" xfId="0" applyFill="1" applyBorder="1"/>
    <xf numFmtId="0" fontId="0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65916</xdr:colOff>
      <xdr:row>19</xdr:row>
      <xdr:rowOff>147087</xdr:rowOff>
    </xdr:from>
    <xdr:to>
      <xdr:col>20</xdr:col>
      <xdr:colOff>274556</xdr:colOff>
      <xdr:row>32</xdr:row>
      <xdr:rowOff>173648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2FE18-71EC-4F79-A467-8363C7D486D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257" b="57519"/>
        <a:stretch/>
      </xdr:blipFill>
      <xdr:spPr bwMode="auto">
        <a:xfrm>
          <a:off x="9629016" y="6052587"/>
          <a:ext cx="4081587" cy="26268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</xdr:colOff>
      <xdr:row>36</xdr:row>
      <xdr:rowOff>0</xdr:rowOff>
    </xdr:from>
    <xdr:to>
      <xdr:col>20</xdr:col>
      <xdr:colOff>312192</xdr:colOff>
      <xdr:row>46</xdr:row>
      <xdr:rowOff>188003</xdr:rowOff>
    </xdr:to>
    <xdr:pic>
      <xdr:nvPicPr>
        <xdr:cNvPr id="3" name="Picture 2" descr="bike diagram">
          <a:extLst>
            <a:ext uri="{FF2B5EF4-FFF2-40B4-BE49-F238E27FC236}">
              <a16:creationId xmlns:a16="http://schemas.microsoft.com/office/drawing/2014/main" id="{03519729-3C36-44AD-A73C-A86DBB6CE3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5578" y="9253904"/>
          <a:ext cx="4176346" cy="20930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208818</xdr:colOff>
      <xdr:row>34</xdr:row>
      <xdr:rowOff>169041</xdr:rowOff>
    </xdr:from>
    <xdr:to>
      <xdr:col>27</xdr:col>
      <xdr:colOff>131340</xdr:colOff>
      <xdr:row>45</xdr:row>
      <xdr:rowOff>115956</xdr:rowOff>
    </xdr:to>
    <xdr:pic>
      <xdr:nvPicPr>
        <xdr:cNvPr id="4" name="Picture 3" descr="Escape 3">
          <a:extLst>
            <a:ext uri="{FF2B5EF4-FFF2-40B4-BE49-F238E27FC236}">
              <a16:creationId xmlns:a16="http://schemas.microsoft.com/office/drawing/2014/main" id="{83D88EE2-0B66-462D-ABE4-A3C7B3808FC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2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54" t="4113" r="2380" b="4699"/>
        <a:stretch/>
      </xdr:blipFill>
      <xdr:spPr bwMode="auto">
        <a:xfrm>
          <a:off x="14098753" y="9056280"/>
          <a:ext cx="3600000" cy="20424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146713</xdr:colOff>
      <xdr:row>20</xdr:row>
      <xdr:rowOff>163146</xdr:rowOff>
    </xdr:from>
    <xdr:to>
      <xdr:col>27</xdr:col>
      <xdr:colOff>69235</xdr:colOff>
      <xdr:row>31</xdr:row>
      <xdr:rowOff>58478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367959-41F7-4540-8262-6A5178F8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/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7013" y="6268671"/>
          <a:ext cx="3580122" cy="20956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66260</xdr:colOff>
      <xdr:row>50</xdr:row>
      <xdr:rowOff>99394</xdr:rowOff>
    </xdr:from>
    <xdr:to>
      <xdr:col>20</xdr:col>
      <xdr:colOff>364435</xdr:colOff>
      <xdr:row>61</xdr:row>
      <xdr:rowOff>188580</xdr:rowOff>
    </xdr:to>
    <xdr:pic>
      <xdr:nvPicPr>
        <xdr:cNvPr id="7" name="Picture 6" descr="bike diagram">
          <a:extLst>
            <a:ext uri="{FF2B5EF4-FFF2-40B4-BE49-F238E27FC236}">
              <a16:creationId xmlns:a16="http://schemas.microsoft.com/office/drawing/2014/main" id="{035C2023-DA38-426E-BF74-2CE487594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65803" y="12034633"/>
          <a:ext cx="4191001" cy="2184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124239</xdr:colOff>
      <xdr:row>50</xdr:row>
      <xdr:rowOff>99390</xdr:rowOff>
    </xdr:from>
    <xdr:to>
      <xdr:col>27</xdr:col>
      <xdr:colOff>46761</xdr:colOff>
      <xdr:row>60</xdr:row>
      <xdr:rowOff>184635</xdr:rowOff>
    </xdr:to>
    <xdr:pic>
      <xdr:nvPicPr>
        <xdr:cNvPr id="8" name="Picture 7" descr="Fathom 1">
          <a:extLst>
            <a:ext uri="{FF2B5EF4-FFF2-40B4-BE49-F238E27FC236}">
              <a16:creationId xmlns:a16="http://schemas.microsoft.com/office/drawing/2014/main" id="{54CADC83-E788-4428-9202-238773DAF98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1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77" t="4938" r="2794" b="5532"/>
        <a:stretch/>
      </xdr:blipFill>
      <xdr:spPr bwMode="auto">
        <a:xfrm>
          <a:off x="14014174" y="12034629"/>
          <a:ext cx="3600000" cy="19902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69</xdr:row>
      <xdr:rowOff>1</xdr:rowOff>
    </xdr:from>
    <xdr:to>
      <xdr:col>20</xdr:col>
      <xdr:colOff>320087</xdr:colOff>
      <xdr:row>79</xdr:row>
      <xdr:rowOff>14586</xdr:rowOff>
    </xdr:to>
    <xdr:pic>
      <xdr:nvPicPr>
        <xdr:cNvPr id="9" name="Picture 8" descr="bike diagram">
          <a:extLst>
            <a:ext uri="{FF2B5EF4-FFF2-40B4-BE49-F238E27FC236}">
              <a16:creationId xmlns:a16="http://schemas.microsoft.com/office/drawing/2014/main" id="{0BC0E8CA-D594-4EC0-A6CD-CF65B64E04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2457" y="15554740"/>
          <a:ext cx="3600000" cy="1919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91107</xdr:colOff>
      <xdr:row>69</xdr:row>
      <xdr:rowOff>91108</xdr:rowOff>
    </xdr:from>
    <xdr:to>
      <xdr:col>27</xdr:col>
      <xdr:colOff>13629</xdr:colOff>
      <xdr:row>80</xdr:row>
      <xdr:rowOff>66482</xdr:rowOff>
    </xdr:to>
    <xdr:pic>
      <xdr:nvPicPr>
        <xdr:cNvPr id="10" name="Picture 9" descr="Contend 1">
          <a:extLst>
            <a:ext uri="{FF2B5EF4-FFF2-40B4-BE49-F238E27FC236}">
              <a16:creationId xmlns:a16="http://schemas.microsoft.com/office/drawing/2014/main" id="{A175A608-3176-4425-AB0C-47004C247B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30" t="4203" r="2680" b="5234"/>
        <a:stretch/>
      </xdr:blipFill>
      <xdr:spPr bwMode="auto">
        <a:xfrm>
          <a:off x="13981042" y="15645847"/>
          <a:ext cx="3600000" cy="207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35AD6-7E08-4F88-97EC-47267900DBCA}">
  <dimension ref="A1:F63"/>
  <sheetViews>
    <sheetView tabSelected="1" workbookViewId="0">
      <selection activeCell="E66" sqref="E66"/>
    </sheetView>
  </sheetViews>
  <sheetFormatPr defaultRowHeight="15" x14ac:dyDescent="0.25"/>
  <cols>
    <col min="1" max="1" width="5.42578125" customWidth="1"/>
    <col min="2" max="2" width="5" bestFit="1" customWidth="1"/>
    <col min="3" max="3" width="7.140625" style="3" bestFit="1" customWidth="1"/>
    <col min="4" max="4" width="14" bestFit="1" customWidth="1"/>
    <col min="5" max="5" width="66.28515625" style="4" customWidth="1"/>
    <col min="6" max="6" width="13.85546875" bestFit="1" customWidth="1"/>
    <col min="10" max="10" width="6.42578125" customWidth="1"/>
    <col min="11" max="11" width="6" customWidth="1"/>
  </cols>
  <sheetData>
    <row r="1" spans="1:6" ht="42.75" customHeight="1" x14ac:dyDescent="0.25">
      <c r="A1" s="40" t="s">
        <v>11</v>
      </c>
      <c r="B1" s="40"/>
      <c r="C1" s="40"/>
      <c r="D1" s="40"/>
      <c r="E1" s="40"/>
      <c r="F1" s="40"/>
    </row>
    <row r="2" spans="1:6" s="1" customFormat="1" x14ac:dyDescent="0.25">
      <c r="A2" s="1" t="s">
        <v>46</v>
      </c>
      <c r="B2" s="1" t="s">
        <v>0</v>
      </c>
      <c r="C2" s="2" t="s">
        <v>1</v>
      </c>
      <c r="D2" s="1" t="s">
        <v>2</v>
      </c>
      <c r="E2" s="5" t="s">
        <v>3</v>
      </c>
      <c r="F2" s="1" t="s">
        <v>158</v>
      </c>
    </row>
    <row r="3" spans="1:6" s="1" customFormat="1" x14ac:dyDescent="0.25">
      <c r="A3">
        <v>32</v>
      </c>
      <c r="B3" t="s">
        <v>16</v>
      </c>
      <c r="C3" s="3">
        <v>5</v>
      </c>
      <c r="D3" t="s">
        <v>8</v>
      </c>
      <c r="E3" s="4" t="s">
        <v>171</v>
      </c>
      <c r="F3" t="s">
        <v>205</v>
      </c>
    </row>
    <row r="4" spans="1:6" x14ac:dyDescent="0.25">
      <c r="A4">
        <v>32.5</v>
      </c>
      <c r="D4" t="s">
        <v>8</v>
      </c>
      <c r="E4" s="4" t="s">
        <v>172</v>
      </c>
      <c r="F4" t="s">
        <v>205</v>
      </c>
    </row>
    <row r="5" spans="1:6" x14ac:dyDescent="0.25">
      <c r="A5">
        <v>32.6</v>
      </c>
      <c r="D5" t="s">
        <v>8</v>
      </c>
      <c r="E5" s="4" t="s">
        <v>204</v>
      </c>
      <c r="F5" t="s">
        <v>203</v>
      </c>
    </row>
    <row r="6" spans="1:6" ht="30" x14ac:dyDescent="0.25">
      <c r="A6">
        <v>33</v>
      </c>
      <c r="B6" t="s">
        <v>18</v>
      </c>
      <c r="C6" s="3" t="s">
        <v>22</v>
      </c>
      <c r="D6" t="s">
        <v>8</v>
      </c>
      <c r="E6" s="4" t="s">
        <v>173</v>
      </c>
    </row>
    <row r="7" spans="1:6" ht="30" x14ac:dyDescent="0.25">
      <c r="A7">
        <v>33.5</v>
      </c>
      <c r="B7" t="s">
        <v>18</v>
      </c>
      <c r="C7" s="3" t="s">
        <v>22</v>
      </c>
      <c r="D7" t="s">
        <v>8</v>
      </c>
      <c r="E7" s="4" t="s">
        <v>174</v>
      </c>
    </row>
    <row r="8" spans="1:6" x14ac:dyDescent="0.25">
      <c r="A8">
        <v>11</v>
      </c>
      <c r="B8" t="s">
        <v>18</v>
      </c>
      <c r="C8" s="3" t="s">
        <v>22</v>
      </c>
      <c r="D8" t="s">
        <v>166</v>
      </c>
      <c r="E8" s="39" t="s">
        <v>160</v>
      </c>
    </row>
    <row r="9" spans="1:6" x14ac:dyDescent="0.25">
      <c r="A9">
        <v>23</v>
      </c>
      <c r="B9" t="s">
        <v>18</v>
      </c>
      <c r="C9" s="3" t="s">
        <v>22</v>
      </c>
      <c r="D9" t="s">
        <v>166</v>
      </c>
      <c r="E9" s="4" t="s">
        <v>6</v>
      </c>
    </row>
    <row r="10" spans="1:6" ht="30" x14ac:dyDescent="0.25">
      <c r="A10">
        <v>24</v>
      </c>
      <c r="B10" t="s">
        <v>18</v>
      </c>
      <c r="C10" s="3" t="s">
        <v>22</v>
      </c>
      <c r="D10" t="s">
        <v>166</v>
      </c>
      <c r="E10" s="4" t="s">
        <v>175</v>
      </c>
    </row>
    <row r="11" spans="1:6" ht="30" x14ac:dyDescent="0.25">
      <c r="A11">
        <v>24.5</v>
      </c>
      <c r="D11" t="s">
        <v>166</v>
      </c>
      <c r="E11" s="4" t="s">
        <v>178</v>
      </c>
    </row>
    <row r="12" spans="1:6" x14ac:dyDescent="0.25">
      <c r="A12">
        <v>25</v>
      </c>
      <c r="D12" t="s">
        <v>166</v>
      </c>
      <c r="E12" s="4" t="s">
        <v>177</v>
      </c>
    </row>
    <row r="13" spans="1:6" x14ac:dyDescent="0.25">
      <c r="A13">
        <v>30</v>
      </c>
      <c r="B13" t="s">
        <v>18</v>
      </c>
      <c r="C13" s="3" t="s">
        <v>22</v>
      </c>
      <c r="D13" t="s">
        <v>166</v>
      </c>
      <c r="E13" s="4" t="s">
        <v>176</v>
      </c>
    </row>
    <row r="14" spans="1:6" x14ac:dyDescent="0.25">
      <c r="A14">
        <v>31</v>
      </c>
      <c r="B14" t="s">
        <v>18</v>
      </c>
      <c r="C14" s="3" t="s">
        <v>22</v>
      </c>
      <c r="D14" t="s">
        <v>166</v>
      </c>
      <c r="E14" s="4" t="s">
        <v>179</v>
      </c>
    </row>
    <row r="15" spans="1:6" x14ac:dyDescent="0.25">
      <c r="A15">
        <v>31.5</v>
      </c>
      <c r="D15" t="s">
        <v>166</v>
      </c>
      <c r="E15" s="4" t="s">
        <v>207</v>
      </c>
      <c r="F15" t="s">
        <v>208</v>
      </c>
    </row>
    <row r="16" spans="1:6" x14ac:dyDescent="0.25">
      <c r="A16">
        <v>3</v>
      </c>
      <c r="B16" t="s">
        <v>16</v>
      </c>
      <c r="C16" s="3">
        <v>3</v>
      </c>
      <c r="D16" t="s">
        <v>165</v>
      </c>
      <c r="E16" s="4" t="s">
        <v>159</v>
      </c>
    </row>
    <row r="17" spans="1:5" x14ac:dyDescent="0.25">
      <c r="A17">
        <v>4</v>
      </c>
      <c r="B17" t="s">
        <v>18</v>
      </c>
      <c r="C17" s="3" t="s">
        <v>22</v>
      </c>
      <c r="D17" t="s">
        <v>165</v>
      </c>
      <c r="E17" s="4" t="s">
        <v>220</v>
      </c>
    </row>
    <row r="18" spans="1:5" x14ac:dyDescent="0.25">
      <c r="A18">
        <v>4.5</v>
      </c>
      <c r="B18" t="s">
        <v>16</v>
      </c>
      <c r="D18" t="s">
        <v>165</v>
      </c>
      <c r="E18" s="4" t="s">
        <v>181</v>
      </c>
    </row>
    <row r="19" spans="1:5" x14ac:dyDescent="0.25">
      <c r="A19">
        <v>5</v>
      </c>
      <c r="B19" t="s">
        <v>18</v>
      </c>
      <c r="C19" s="3" t="s">
        <v>22</v>
      </c>
      <c r="D19" t="s">
        <v>165</v>
      </c>
      <c r="E19" s="4" t="s">
        <v>221</v>
      </c>
    </row>
    <row r="20" spans="1:5" x14ac:dyDescent="0.25">
      <c r="A20">
        <v>5.5</v>
      </c>
      <c r="B20" t="s">
        <v>16</v>
      </c>
      <c r="D20" t="s">
        <v>165</v>
      </c>
      <c r="E20" s="4" t="s">
        <v>182</v>
      </c>
    </row>
    <row r="21" spans="1:5" x14ac:dyDescent="0.25">
      <c r="A21">
        <v>6</v>
      </c>
      <c r="B21" t="s">
        <v>16</v>
      </c>
      <c r="C21" s="3" t="s">
        <v>22</v>
      </c>
      <c r="D21" t="s">
        <v>165</v>
      </c>
      <c r="E21" s="4" t="s">
        <v>184</v>
      </c>
    </row>
    <row r="22" spans="1:5" x14ac:dyDescent="0.25">
      <c r="A22">
        <v>7</v>
      </c>
      <c r="B22" t="s">
        <v>18</v>
      </c>
      <c r="C22" s="3" t="s">
        <v>22</v>
      </c>
      <c r="D22" t="s">
        <v>165</v>
      </c>
      <c r="E22" s="4" t="s">
        <v>219</v>
      </c>
    </row>
    <row r="23" spans="1:5" x14ac:dyDescent="0.25">
      <c r="A23">
        <v>8</v>
      </c>
      <c r="B23" t="s">
        <v>16</v>
      </c>
      <c r="C23" s="3">
        <v>1</v>
      </c>
      <c r="D23" t="s">
        <v>165</v>
      </c>
      <c r="E23" s="4" t="s">
        <v>183</v>
      </c>
    </row>
    <row r="24" spans="1:5" x14ac:dyDescent="0.25">
      <c r="A24">
        <v>34</v>
      </c>
      <c r="B24" t="s">
        <v>16</v>
      </c>
      <c r="C24" s="3">
        <v>4</v>
      </c>
      <c r="D24" t="s">
        <v>13</v>
      </c>
      <c r="E24" s="4" t="s">
        <v>14</v>
      </c>
    </row>
    <row r="25" spans="1:5" x14ac:dyDescent="0.25">
      <c r="A25">
        <v>35</v>
      </c>
      <c r="B25" t="s">
        <v>16</v>
      </c>
      <c r="C25" s="3">
        <v>2</v>
      </c>
      <c r="D25" t="s">
        <v>13</v>
      </c>
      <c r="E25" s="4" t="s">
        <v>186</v>
      </c>
    </row>
    <row r="26" spans="1:5" x14ac:dyDescent="0.25">
      <c r="A26">
        <v>36</v>
      </c>
      <c r="B26" t="s">
        <v>18</v>
      </c>
      <c r="C26" s="3" t="s">
        <v>22</v>
      </c>
      <c r="D26" t="s">
        <v>13</v>
      </c>
      <c r="E26" s="4" t="s">
        <v>185</v>
      </c>
    </row>
    <row r="27" spans="1:5" x14ac:dyDescent="0.25">
      <c r="A27">
        <v>37</v>
      </c>
      <c r="B27" t="s">
        <v>16</v>
      </c>
      <c r="C27" s="3">
        <v>4</v>
      </c>
      <c r="D27" t="s">
        <v>13</v>
      </c>
      <c r="E27" s="4" t="s">
        <v>168</v>
      </c>
    </row>
    <row r="28" spans="1:5" x14ac:dyDescent="0.25">
      <c r="A28">
        <v>38</v>
      </c>
      <c r="B28" t="s">
        <v>18</v>
      </c>
      <c r="C28" s="3" t="s">
        <v>22</v>
      </c>
      <c r="D28" t="s">
        <v>13</v>
      </c>
      <c r="E28" s="4" t="s">
        <v>169</v>
      </c>
    </row>
    <row r="29" spans="1:5" x14ac:dyDescent="0.25">
      <c r="A29">
        <v>39</v>
      </c>
      <c r="B29" t="s">
        <v>18</v>
      </c>
      <c r="C29" s="3" t="s">
        <v>22</v>
      </c>
      <c r="D29" t="s">
        <v>13</v>
      </c>
      <c r="E29" s="4" t="s">
        <v>170</v>
      </c>
    </row>
    <row r="30" spans="1:5" x14ac:dyDescent="0.25">
      <c r="B30" s="4" t="s">
        <v>18</v>
      </c>
      <c r="C30" s="7" t="s">
        <v>22</v>
      </c>
      <c r="D30" s="4" t="s">
        <v>25</v>
      </c>
      <c r="E30" s="4" t="s">
        <v>217</v>
      </c>
    </row>
    <row r="31" spans="1:5" x14ac:dyDescent="0.25">
      <c r="B31" s="4" t="s">
        <v>16</v>
      </c>
      <c r="C31" s="7">
        <v>5</v>
      </c>
      <c r="D31" s="4" t="s">
        <v>25</v>
      </c>
      <c r="E31" s="4" t="s">
        <v>187</v>
      </c>
    </row>
    <row r="32" spans="1:5" ht="30" x14ac:dyDescent="0.25">
      <c r="B32" s="4" t="s">
        <v>18</v>
      </c>
      <c r="C32" s="7" t="s">
        <v>22</v>
      </c>
      <c r="D32" s="4" t="s">
        <v>25</v>
      </c>
      <c r="E32" s="4" t="s">
        <v>188</v>
      </c>
    </row>
    <row r="33" spans="1:5" ht="30" x14ac:dyDescent="0.25">
      <c r="B33" s="4" t="s">
        <v>16</v>
      </c>
      <c r="C33" s="7">
        <v>4</v>
      </c>
      <c r="D33" s="4" t="s">
        <v>25</v>
      </c>
      <c r="E33" s="4" t="s">
        <v>189</v>
      </c>
    </row>
    <row r="34" spans="1:5" x14ac:dyDescent="0.25">
      <c r="B34" s="4" t="s">
        <v>16</v>
      </c>
      <c r="C34" s="7">
        <v>4</v>
      </c>
      <c r="D34" s="4" t="s">
        <v>25</v>
      </c>
      <c r="E34" s="4" t="s">
        <v>190</v>
      </c>
    </row>
    <row r="35" spans="1:5" x14ac:dyDescent="0.25">
      <c r="B35" s="4" t="s">
        <v>18</v>
      </c>
      <c r="C35" s="7" t="s">
        <v>22</v>
      </c>
      <c r="D35" s="4" t="s">
        <v>25</v>
      </c>
      <c r="E35" s="4" t="s">
        <v>191</v>
      </c>
    </row>
    <row r="36" spans="1:5" ht="30" x14ac:dyDescent="0.25">
      <c r="B36" s="4" t="s">
        <v>18</v>
      </c>
      <c r="C36" s="7" t="s">
        <v>22</v>
      </c>
      <c r="D36" s="4" t="s">
        <v>25</v>
      </c>
      <c r="E36" s="4" t="s">
        <v>192</v>
      </c>
    </row>
    <row r="37" spans="1:5" ht="30" x14ac:dyDescent="0.25">
      <c r="B37" s="4" t="s">
        <v>16</v>
      </c>
      <c r="C37" s="7">
        <v>5</v>
      </c>
      <c r="D37" s="4" t="s">
        <v>25</v>
      </c>
      <c r="E37" s="4" t="s">
        <v>218</v>
      </c>
    </row>
    <row r="38" spans="1:5" x14ac:dyDescent="0.25">
      <c r="B38" s="4" t="s">
        <v>18</v>
      </c>
      <c r="C38" s="7" t="s">
        <v>22</v>
      </c>
      <c r="D38" s="4" t="s">
        <v>25</v>
      </c>
      <c r="E38" s="4" t="s">
        <v>193</v>
      </c>
    </row>
    <row r="39" spans="1:5" x14ac:dyDescent="0.25">
      <c r="A39">
        <v>1</v>
      </c>
      <c r="B39" t="s">
        <v>18</v>
      </c>
      <c r="C39" s="3" t="s">
        <v>22</v>
      </c>
      <c r="D39" t="s">
        <v>164</v>
      </c>
      <c r="E39" s="4" t="s">
        <v>194</v>
      </c>
    </row>
    <row r="40" spans="1:5" x14ac:dyDescent="0.25">
      <c r="A40">
        <v>2</v>
      </c>
      <c r="B40" t="s">
        <v>16</v>
      </c>
      <c r="C40" s="3">
        <v>3</v>
      </c>
      <c r="D40" t="s">
        <v>164</v>
      </c>
      <c r="E40" s="4" t="s">
        <v>195</v>
      </c>
    </row>
    <row r="41" spans="1:5" x14ac:dyDescent="0.25">
      <c r="A41">
        <v>13</v>
      </c>
      <c r="B41" t="s">
        <v>18</v>
      </c>
      <c r="C41" s="3" t="s">
        <v>22</v>
      </c>
      <c r="D41" t="s">
        <v>167</v>
      </c>
      <c r="E41" s="4" t="s">
        <v>163</v>
      </c>
    </row>
    <row r="42" spans="1:5" x14ac:dyDescent="0.25">
      <c r="A42">
        <v>10</v>
      </c>
      <c r="B42" t="s">
        <v>18</v>
      </c>
      <c r="C42" s="3" t="s">
        <v>22</v>
      </c>
      <c r="D42" t="s">
        <v>5</v>
      </c>
      <c r="E42" s="4" t="s">
        <v>180</v>
      </c>
    </row>
    <row r="43" spans="1:5" x14ac:dyDescent="0.25">
      <c r="A43">
        <v>20</v>
      </c>
      <c r="B43" t="s">
        <v>18</v>
      </c>
      <c r="C43" s="3" t="s">
        <v>22</v>
      </c>
      <c r="D43" t="s">
        <v>5</v>
      </c>
      <c r="E43" s="4" t="s">
        <v>196</v>
      </c>
    </row>
    <row r="44" spans="1:5" x14ac:dyDescent="0.25">
      <c r="A44">
        <v>21</v>
      </c>
      <c r="B44" t="s">
        <v>16</v>
      </c>
      <c r="C44" s="3">
        <v>4</v>
      </c>
      <c r="D44" t="s">
        <v>5</v>
      </c>
      <c r="E44" s="4" t="s">
        <v>222</v>
      </c>
    </row>
    <row r="45" spans="1:5" x14ac:dyDescent="0.25">
      <c r="A45">
        <v>21.5</v>
      </c>
      <c r="B45" t="s">
        <v>16</v>
      </c>
      <c r="D45" t="s">
        <v>5</v>
      </c>
      <c r="E45" s="4" t="s">
        <v>197</v>
      </c>
    </row>
    <row r="46" spans="1:5" x14ac:dyDescent="0.25">
      <c r="A46">
        <v>22</v>
      </c>
      <c r="B46" t="s">
        <v>16</v>
      </c>
      <c r="C46" s="3">
        <v>2</v>
      </c>
      <c r="D46" t="s">
        <v>5</v>
      </c>
      <c r="E46" s="4" t="s">
        <v>198</v>
      </c>
    </row>
    <row r="47" spans="1:5" x14ac:dyDescent="0.25">
      <c r="A47">
        <v>40</v>
      </c>
      <c r="B47" t="s">
        <v>16</v>
      </c>
      <c r="C47" s="3">
        <v>5</v>
      </c>
      <c r="D47" t="s">
        <v>9</v>
      </c>
      <c r="E47" s="4" t="s">
        <v>199</v>
      </c>
    </row>
    <row r="48" spans="1:5" x14ac:dyDescent="0.25">
      <c r="A48">
        <v>41</v>
      </c>
      <c r="B48" t="s">
        <v>18</v>
      </c>
      <c r="C48" s="3" t="s">
        <v>22</v>
      </c>
      <c r="D48" t="s">
        <v>9</v>
      </c>
      <c r="E48" s="4" t="s">
        <v>200</v>
      </c>
    </row>
    <row r="49" spans="1:6" x14ac:dyDescent="0.25">
      <c r="A49">
        <v>42</v>
      </c>
      <c r="B49" t="s">
        <v>18</v>
      </c>
      <c r="C49" s="3" t="s">
        <v>22</v>
      </c>
      <c r="D49" t="s">
        <v>9</v>
      </c>
      <c r="E49" s="4" t="s">
        <v>201</v>
      </c>
    </row>
    <row r="50" spans="1:6" x14ac:dyDescent="0.25">
      <c r="A50">
        <v>43</v>
      </c>
      <c r="B50" t="s">
        <v>18</v>
      </c>
      <c r="C50" s="3" t="s">
        <v>22</v>
      </c>
      <c r="D50" t="s">
        <v>9</v>
      </c>
      <c r="E50" s="4" t="s">
        <v>12</v>
      </c>
    </row>
    <row r="51" spans="1:6" x14ac:dyDescent="0.25">
      <c r="A51">
        <v>44</v>
      </c>
      <c r="B51" t="s">
        <v>18</v>
      </c>
      <c r="C51" s="3" t="s">
        <v>22</v>
      </c>
      <c r="D51" t="s">
        <v>9</v>
      </c>
      <c r="E51" s="4" t="s">
        <v>202</v>
      </c>
    </row>
    <row r="52" spans="1:6" x14ac:dyDescent="0.25">
      <c r="A52">
        <v>45</v>
      </c>
      <c r="B52" t="s">
        <v>16</v>
      </c>
      <c r="C52" s="3">
        <v>5</v>
      </c>
      <c r="D52" t="s">
        <v>9</v>
      </c>
      <c r="E52" s="4" t="s">
        <v>209</v>
      </c>
      <c r="F52" t="s">
        <v>206</v>
      </c>
    </row>
    <row r="53" spans="1:6" x14ac:dyDescent="0.25">
      <c r="A53">
        <v>12</v>
      </c>
      <c r="B53" t="s">
        <v>18</v>
      </c>
      <c r="C53" s="3" t="s">
        <v>22</v>
      </c>
      <c r="D53" t="s">
        <v>7</v>
      </c>
      <c r="E53" s="4" t="s">
        <v>161</v>
      </c>
    </row>
    <row r="54" spans="1:6" x14ac:dyDescent="0.25">
      <c r="A54">
        <v>26</v>
      </c>
      <c r="B54" t="s">
        <v>18</v>
      </c>
      <c r="C54" s="3" t="s">
        <v>22</v>
      </c>
      <c r="D54" t="s">
        <v>7</v>
      </c>
      <c r="E54" s="4" t="s">
        <v>210</v>
      </c>
    </row>
    <row r="55" spans="1:6" x14ac:dyDescent="0.25">
      <c r="A55">
        <v>27</v>
      </c>
      <c r="B55" t="s">
        <v>18</v>
      </c>
      <c r="C55" s="3" t="s">
        <v>22</v>
      </c>
      <c r="D55" t="s">
        <v>7</v>
      </c>
      <c r="E55" s="4" t="s">
        <v>212</v>
      </c>
    </row>
    <row r="56" spans="1:6" x14ac:dyDescent="0.25">
      <c r="A56">
        <v>28</v>
      </c>
      <c r="B56" t="s">
        <v>18</v>
      </c>
      <c r="C56" s="3" t="s">
        <v>22</v>
      </c>
      <c r="D56" t="s">
        <v>7</v>
      </c>
      <c r="E56" s="4" t="s">
        <v>211</v>
      </c>
    </row>
    <row r="57" spans="1:6" x14ac:dyDescent="0.25">
      <c r="A57">
        <v>29</v>
      </c>
      <c r="B57" t="s">
        <v>18</v>
      </c>
      <c r="C57" s="3" t="s">
        <v>22</v>
      </c>
      <c r="D57" t="s">
        <v>7</v>
      </c>
      <c r="E57" s="4" t="s">
        <v>213</v>
      </c>
    </row>
    <row r="58" spans="1:6" x14ac:dyDescent="0.25">
      <c r="A58">
        <v>9</v>
      </c>
      <c r="B58" t="s">
        <v>18</v>
      </c>
      <c r="C58" s="3" t="s">
        <v>22</v>
      </c>
      <c r="D58" t="s">
        <v>4</v>
      </c>
      <c r="E58" s="4" t="s">
        <v>162</v>
      </c>
    </row>
    <row r="59" spans="1:6" x14ac:dyDescent="0.25">
      <c r="A59">
        <v>15</v>
      </c>
      <c r="B59" t="s">
        <v>18</v>
      </c>
      <c r="C59" s="3" t="s">
        <v>22</v>
      </c>
      <c r="D59" t="s">
        <v>4</v>
      </c>
      <c r="E59" s="4" t="s">
        <v>214</v>
      </c>
    </row>
    <row r="60" spans="1:6" ht="30" x14ac:dyDescent="0.25">
      <c r="A60">
        <v>16</v>
      </c>
      <c r="B60" t="s">
        <v>18</v>
      </c>
      <c r="C60" s="3" t="s">
        <v>22</v>
      </c>
      <c r="D60" t="s">
        <v>4</v>
      </c>
      <c r="E60" s="4" t="s">
        <v>215</v>
      </c>
    </row>
    <row r="61" spans="1:6" ht="30" x14ac:dyDescent="0.25">
      <c r="A61">
        <v>17</v>
      </c>
      <c r="B61" t="s">
        <v>18</v>
      </c>
      <c r="C61" s="3" t="s">
        <v>22</v>
      </c>
      <c r="D61" t="s">
        <v>4</v>
      </c>
      <c r="E61" s="4" t="s">
        <v>216</v>
      </c>
    </row>
    <row r="62" spans="1:6" x14ac:dyDescent="0.25">
      <c r="A62">
        <v>19.5</v>
      </c>
      <c r="D62" t="s">
        <v>4</v>
      </c>
      <c r="E62" s="4" t="s">
        <v>119</v>
      </c>
    </row>
    <row r="63" spans="1:6" x14ac:dyDescent="0.25">
      <c r="A63" s="1"/>
      <c r="B63" s="1"/>
      <c r="C63" s="2"/>
      <c r="D63" s="1"/>
      <c r="E63" s="5"/>
      <c r="F63" s="1"/>
    </row>
  </sheetData>
  <autoFilter ref="A2:F64" xr:uid="{2035B645-7B6F-485F-9266-35A4E14D27BF}">
    <sortState xmlns:xlrd2="http://schemas.microsoft.com/office/spreadsheetml/2017/richdata2" ref="A3:F64">
      <sortCondition ref="D2:D64"/>
    </sortState>
  </autoFilter>
  <mergeCells count="1">
    <mergeCell ref="A1:F1"/>
  </mergeCells>
  <phoneticPr fontId="6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D9CDE-2ACC-4300-AB58-DC0F6A745C84}">
  <dimension ref="A1:E28"/>
  <sheetViews>
    <sheetView workbookViewId="0">
      <selection activeCell="H19" sqref="H19"/>
    </sheetView>
  </sheetViews>
  <sheetFormatPr defaultRowHeight="15" x14ac:dyDescent="0.25"/>
  <cols>
    <col min="1" max="1" width="3" style="4" bestFit="1" customWidth="1"/>
    <col min="2" max="2" width="5" style="4" bestFit="1" customWidth="1"/>
    <col min="3" max="3" width="7.140625" style="7" bestFit="1" customWidth="1"/>
    <col min="4" max="4" width="13.5703125" style="4" bestFit="1" customWidth="1"/>
    <col min="5" max="5" width="65.5703125" style="4" customWidth="1"/>
    <col min="6" max="16384" width="9.140625" style="4"/>
  </cols>
  <sheetData>
    <row r="1" spans="1:5" ht="47.25" customHeight="1" x14ac:dyDescent="0.25">
      <c r="A1" s="41" t="s">
        <v>11</v>
      </c>
      <c r="B1" s="41"/>
      <c r="C1" s="41"/>
      <c r="D1" s="41"/>
      <c r="E1" s="41"/>
    </row>
    <row r="2" spans="1:5" ht="30" x14ac:dyDescent="0.25">
      <c r="A2" s="4" t="s">
        <v>46</v>
      </c>
      <c r="B2" s="5" t="s">
        <v>0</v>
      </c>
      <c r="C2" s="6" t="s">
        <v>1</v>
      </c>
      <c r="D2" s="5" t="s">
        <v>2</v>
      </c>
      <c r="E2" s="5" t="s">
        <v>3</v>
      </c>
    </row>
    <row r="3" spans="1:5" x14ac:dyDescent="0.25">
      <c r="A3" s="4">
        <v>1</v>
      </c>
      <c r="B3" s="4" t="s">
        <v>18</v>
      </c>
      <c r="C3" s="7" t="s">
        <v>22</v>
      </c>
      <c r="D3" s="4" t="s">
        <v>24</v>
      </c>
      <c r="E3" s="4" t="s">
        <v>30</v>
      </c>
    </row>
    <row r="4" spans="1:5" x14ac:dyDescent="0.25">
      <c r="A4" s="4">
        <v>2</v>
      </c>
      <c r="B4" s="4" t="s">
        <v>18</v>
      </c>
      <c r="C4" s="7" t="s">
        <v>22</v>
      </c>
      <c r="D4" s="4" t="s">
        <v>24</v>
      </c>
      <c r="E4" s="4" t="s">
        <v>42</v>
      </c>
    </row>
    <row r="5" spans="1:5" x14ac:dyDescent="0.25">
      <c r="A5" s="4">
        <v>3</v>
      </c>
      <c r="B5" s="4" t="s">
        <v>16</v>
      </c>
      <c r="C5" s="7">
        <v>3</v>
      </c>
      <c r="D5" s="4" t="s">
        <v>24</v>
      </c>
      <c r="E5" s="4" t="s">
        <v>44</v>
      </c>
    </row>
    <row r="6" spans="1:5" x14ac:dyDescent="0.25">
      <c r="A6" s="4">
        <v>4</v>
      </c>
      <c r="B6" s="4" t="s">
        <v>16</v>
      </c>
      <c r="C6" s="7">
        <v>3</v>
      </c>
      <c r="D6" s="4" t="s">
        <v>24</v>
      </c>
      <c r="E6" s="4" t="s">
        <v>43</v>
      </c>
    </row>
    <row r="7" spans="1:5" x14ac:dyDescent="0.25">
      <c r="A7" s="4">
        <v>5</v>
      </c>
      <c r="B7" s="4" t="s">
        <v>18</v>
      </c>
      <c r="C7" s="7" t="s">
        <v>22</v>
      </c>
      <c r="D7" s="4" t="s">
        <v>23</v>
      </c>
      <c r="E7" s="4" t="s">
        <v>26</v>
      </c>
    </row>
    <row r="8" spans="1:5" x14ac:dyDescent="0.25">
      <c r="A8" s="4">
        <v>6</v>
      </c>
      <c r="B8" s="4" t="s">
        <v>18</v>
      </c>
      <c r="C8" s="7" t="s">
        <v>22</v>
      </c>
      <c r="D8" s="4" t="s">
        <v>23</v>
      </c>
      <c r="E8" s="4" t="s">
        <v>27</v>
      </c>
    </row>
    <row r="9" spans="1:5" x14ac:dyDescent="0.25">
      <c r="A9" s="4">
        <v>7</v>
      </c>
      <c r="B9" s="4" t="s">
        <v>18</v>
      </c>
      <c r="C9" s="7" t="s">
        <v>22</v>
      </c>
      <c r="D9" s="4" t="s">
        <v>23</v>
      </c>
      <c r="E9" s="4" t="s">
        <v>41</v>
      </c>
    </row>
    <row r="10" spans="1:5" ht="30" x14ac:dyDescent="0.25">
      <c r="A10" s="4">
        <v>8</v>
      </c>
      <c r="B10" s="4" t="s">
        <v>18</v>
      </c>
      <c r="C10" s="7" t="s">
        <v>22</v>
      </c>
      <c r="D10" s="4" t="s">
        <v>37</v>
      </c>
      <c r="E10" s="4" t="s">
        <v>38</v>
      </c>
    </row>
    <row r="11" spans="1:5" ht="30" x14ac:dyDescent="0.25">
      <c r="A11" s="4">
        <v>9</v>
      </c>
      <c r="B11" s="4" t="s">
        <v>18</v>
      </c>
      <c r="C11" s="7" t="s">
        <v>22</v>
      </c>
      <c r="D11" s="4" t="s">
        <v>37</v>
      </c>
      <c r="E11" s="4" t="s">
        <v>39</v>
      </c>
    </row>
    <row r="12" spans="1:5" x14ac:dyDescent="0.25">
      <c r="A12" s="4">
        <v>10</v>
      </c>
      <c r="B12" s="4" t="s">
        <v>18</v>
      </c>
      <c r="C12" s="7" t="s">
        <v>22</v>
      </c>
      <c r="D12" s="4" t="s">
        <v>25</v>
      </c>
      <c r="E12" s="4" t="s">
        <v>28</v>
      </c>
    </row>
    <row r="13" spans="1:5" x14ac:dyDescent="0.25">
      <c r="A13" s="4">
        <v>11</v>
      </c>
      <c r="B13" s="4" t="s">
        <v>16</v>
      </c>
      <c r="C13" s="7">
        <v>5</v>
      </c>
      <c r="D13" s="4" t="s">
        <v>25</v>
      </c>
      <c r="E13" s="4" t="s">
        <v>29</v>
      </c>
    </row>
    <row r="14" spans="1:5" ht="30" x14ac:dyDescent="0.25">
      <c r="A14" s="4">
        <v>12</v>
      </c>
      <c r="B14" s="4" t="s">
        <v>18</v>
      </c>
      <c r="C14" s="7" t="s">
        <v>22</v>
      </c>
      <c r="D14" s="4" t="s">
        <v>25</v>
      </c>
      <c r="E14" s="4" t="s">
        <v>32</v>
      </c>
    </row>
    <row r="15" spans="1:5" ht="30" x14ac:dyDescent="0.25">
      <c r="A15" s="4">
        <v>13</v>
      </c>
      <c r="B15" s="4" t="s">
        <v>16</v>
      </c>
      <c r="C15" s="7">
        <v>4</v>
      </c>
      <c r="D15" s="4" t="s">
        <v>25</v>
      </c>
      <c r="E15" s="4" t="s">
        <v>33</v>
      </c>
    </row>
    <row r="16" spans="1:5" x14ac:dyDescent="0.25">
      <c r="A16" s="4">
        <v>14</v>
      </c>
      <c r="B16" s="4" t="s">
        <v>16</v>
      </c>
      <c r="C16" s="7">
        <v>4</v>
      </c>
      <c r="D16" s="4" t="s">
        <v>25</v>
      </c>
      <c r="E16" s="4" t="s">
        <v>34</v>
      </c>
    </row>
    <row r="17" spans="1:5" x14ac:dyDescent="0.25">
      <c r="A17" s="4">
        <v>15</v>
      </c>
      <c r="B17" s="4" t="s">
        <v>18</v>
      </c>
      <c r="C17" s="7" t="s">
        <v>22</v>
      </c>
      <c r="D17" s="4" t="s">
        <v>25</v>
      </c>
      <c r="E17" s="4" t="s">
        <v>35</v>
      </c>
    </row>
    <row r="18" spans="1:5" x14ac:dyDescent="0.25">
      <c r="A18" s="4">
        <v>16</v>
      </c>
      <c r="B18" s="4" t="s">
        <v>18</v>
      </c>
      <c r="C18" s="7" t="s">
        <v>22</v>
      </c>
      <c r="D18" s="4" t="s">
        <v>25</v>
      </c>
      <c r="E18" s="4" t="s">
        <v>36</v>
      </c>
    </row>
    <row r="19" spans="1:5" x14ac:dyDescent="0.25">
      <c r="A19" s="4">
        <v>17</v>
      </c>
      <c r="B19" s="4" t="s">
        <v>16</v>
      </c>
      <c r="C19" s="7">
        <v>5</v>
      </c>
      <c r="D19" s="4" t="s">
        <v>25</v>
      </c>
      <c r="E19" s="4" t="s">
        <v>10</v>
      </c>
    </row>
    <row r="20" spans="1:5" x14ac:dyDescent="0.25">
      <c r="A20" s="4">
        <v>18</v>
      </c>
      <c r="B20" s="4" t="s">
        <v>18</v>
      </c>
      <c r="C20" s="7" t="s">
        <v>22</v>
      </c>
      <c r="D20" s="4" t="s">
        <v>25</v>
      </c>
      <c r="E20" s="4" t="s">
        <v>40</v>
      </c>
    </row>
    <row r="21" spans="1:5" x14ac:dyDescent="0.25">
      <c r="A21" s="4">
        <v>19</v>
      </c>
      <c r="B21" s="4" t="s">
        <v>18</v>
      </c>
      <c r="C21" s="7" t="s">
        <v>22</v>
      </c>
      <c r="D21" s="4" t="s">
        <v>13</v>
      </c>
      <c r="E21" s="8" t="s">
        <v>45</v>
      </c>
    </row>
    <row r="22" spans="1:5" x14ac:dyDescent="0.25">
      <c r="A22" s="4">
        <v>20</v>
      </c>
      <c r="B22" s="4" t="s">
        <v>18</v>
      </c>
      <c r="C22" s="7" t="s">
        <v>22</v>
      </c>
      <c r="D22" s="4" t="s">
        <v>13</v>
      </c>
      <c r="E22" s="4" t="s">
        <v>31</v>
      </c>
    </row>
    <row r="23" spans="1:5" x14ac:dyDescent="0.25">
      <c r="A23" s="4">
        <v>21</v>
      </c>
      <c r="B23" s="4" t="s">
        <v>16</v>
      </c>
      <c r="C23" s="7">
        <v>4</v>
      </c>
      <c r="D23" s="4" t="s">
        <v>13</v>
      </c>
      <c r="E23" s="4" t="s">
        <v>14</v>
      </c>
    </row>
    <row r="24" spans="1:5" x14ac:dyDescent="0.25">
      <c r="A24" s="4">
        <v>22</v>
      </c>
      <c r="B24" s="4" t="s">
        <v>16</v>
      </c>
      <c r="C24" s="7">
        <v>3</v>
      </c>
      <c r="D24" s="4" t="s">
        <v>13</v>
      </c>
      <c r="E24" s="4" t="s">
        <v>15</v>
      </c>
    </row>
    <row r="25" spans="1:5" x14ac:dyDescent="0.25">
      <c r="A25" s="4">
        <v>23</v>
      </c>
      <c r="B25" s="4" t="s">
        <v>18</v>
      </c>
      <c r="C25" s="7" t="s">
        <v>22</v>
      </c>
      <c r="D25" s="4" t="s">
        <v>13</v>
      </c>
      <c r="E25" s="4" t="s">
        <v>17</v>
      </c>
    </row>
    <row r="26" spans="1:5" x14ac:dyDescent="0.25">
      <c r="A26" s="4">
        <v>24</v>
      </c>
      <c r="B26" s="4" t="s">
        <v>16</v>
      </c>
      <c r="C26" s="7">
        <v>4</v>
      </c>
      <c r="D26" s="4" t="s">
        <v>13</v>
      </c>
      <c r="E26" s="4" t="s">
        <v>19</v>
      </c>
    </row>
    <row r="27" spans="1:5" x14ac:dyDescent="0.25">
      <c r="A27" s="4">
        <v>25</v>
      </c>
      <c r="B27" s="4" t="s">
        <v>18</v>
      </c>
      <c r="C27" s="7" t="s">
        <v>22</v>
      </c>
      <c r="D27" s="4" t="s">
        <v>13</v>
      </c>
      <c r="E27" s="4" t="s">
        <v>20</v>
      </c>
    </row>
    <row r="28" spans="1:5" x14ac:dyDescent="0.25">
      <c r="A28" s="4">
        <v>26</v>
      </c>
      <c r="B28" s="4" t="s">
        <v>18</v>
      </c>
      <c r="C28" s="7" t="s">
        <v>22</v>
      </c>
      <c r="D28" s="4" t="s">
        <v>13</v>
      </c>
      <c r="E28" s="4" t="s">
        <v>21</v>
      </c>
    </row>
  </sheetData>
  <autoFilter ref="A2:E28" xr:uid="{2D04EDC7-76D8-4E49-99EE-A28360DC2B16}">
    <sortState xmlns:xlrd2="http://schemas.microsoft.com/office/spreadsheetml/2017/richdata2" ref="A3:E28">
      <sortCondition ref="A2:A28"/>
    </sortState>
  </autoFilter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00AC-6369-444E-97A7-570DF9A097D2}">
  <dimension ref="B2:R87"/>
  <sheetViews>
    <sheetView zoomScale="115" zoomScaleNormal="115" workbookViewId="0">
      <pane ySplit="6" topLeftCell="A7" activePane="bottomLeft" state="frozen"/>
      <selection pane="bottomLeft" activeCell="J4" sqref="J4"/>
    </sheetView>
  </sheetViews>
  <sheetFormatPr defaultRowHeight="15" x14ac:dyDescent="0.25"/>
  <cols>
    <col min="6" max="6" width="8.28515625" customWidth="1"/>
    <col min="8" max="8" width="24.42578125" customWidth="1"/>
    <col min="9" max="9" width="14" bestFit="1" customWidth="1"/>
    <col min="10" max="10" width="14.42578125" bestFit="1" customWidth="1"/>
    <col min="12" max="12" width="10.7109375" bestFit="1" customWidth="1"/>
    <col min="16" max="16" width="9.85546875" bestFit="1" customWidth="1"/>
    <col min="17" max="17" width="0" hidden="1" customWidth="1"/>
    <col min="18" max="18" width="11.85546875" bestFit="1" customWidth="1"/>
  </cols>
  <sheetData>
    <row r="2" spans="2:18" x14ac:dyDescent="0.25">
      <c r="B2" t="s">
        <v>59</v>
      </c>
      <c r="I2" s="26" t="s">
        <v>154</v>
      </c>
      <c r="J2" s="20" t="s">
        <v>49</v>
      </c>
      <c r="K2" s="20" t="s">
        <v>50</v>
      </c>
      <c r="L2" s="27" t="s">
        <v>144</v>
      </c>
      <c r="M2" s="27" t="s">
        <v>145</v>
      </c>
      <c r="N2" s="27" t="s">
        <v>146</v>
      </c>
      <c r="O2" s="27" t="s">
        <v>147</v>
      </c>
      <c r="P2" s="27" t="s">
        <v>148</v>
      </c>
      <c r="Q2" s="20"/>
      <c r="R2" s="20" t="s">
        <v>157</v>
      </c>
    </row>
    <row r="3" spans="2:18" x14ac:dyDescent="0.25">
      <c r="C3" s="42" t="s">
        <v>48</v>
      </c>
      <c r="D3" s="42"/>
      <c r="I3" s="30" t="s">
        <v>155</v>
      </c>
      <c r="J3" s="31">
        <f>J61</f>
        <v>588</v>
      </c>
      <c r="K3" s="31">
        <f>J62</f>
        <v>411</v>
      </c>
      <c r="L3" s="32">
        <f>J58</f>
        <v>1110</v>
      </c>
      <c r="M3" s="32">
        <f>J57</f>
        <v>108.2</v>
      </c>
      <c r="N3" s="32">
        <f>J56</f>
        <v>42</v>
      </c>
      <c r="O3" s="32">
        <f>J60</f>
        <v>45</v>
      </c>
      <c r="P3" s="32">
        <f>J63</f>
        <v>691</v>
      </c>
      <c r="Q3" s="32"/>
      <c r="R3" s="32">
        <f>J66</f>
        <v>170</v>
      </c>
    </row>
    <row r="4" spans="2:18" x14ac:dyDescent="0.25">
      <c r="B4" t="s">
        <v>47</v>
      </c>
      <c r="C4" t="s">
        <v>51</v>
      </c>
      <c r="D4" t="s">
        <v>52</v>
      </c>
      <c r="E4" t="s">
        <v>49</v>
      </c>
      <c r="F4" t="s">
        <v>50</v>
      </c>
      <c r="G4" t="s">
        <v>92</v>
      </c>
      <c r="I4" s="33" t="s">
        <v>143</v>
      </c>
      <c r="J4" s="34">
        <f>I33</f>
        <v>554</v>
      </c>
      <c r="K4" s="34">
        <f>I34</f>
        <v>388</v>
      </c>
      <c r="L4" s="35">
        <f>I26</f>
        <v>1053</v>
      </c>
      <c r="M4" s="35">
        <f>I32</f>
        <v>67</v>
      </c>
      <c r="N4" s="35">
        <f>I31</f>
        <v>55</v>
      </c>
      <c r="O4" s="35">
        <f>I29</f>
        <v>68</v>
      </c>
      <c r="P4" s="35">
        <f>I24</f>
        <v>690</v>
      </c>
      <c r="Q4" s="35"/>
      <c r="R4" s="35">
        <f>J47</f>
        <v>170</v>
      </c>
    </row>
    <row r="5" spans="2:18" x14ac:dyDescent="0.25">
      <c r="B5" t="s">
        <v>56</v>
      </c>
      <c r="C5">
        <v>1470</v>
      </c>
      <c r="D5">
        <v>1600</v>
      </c>
      <c r="E5" s="9">
        <v>604</v>
      </c>
      <c r="F5">
        <v>382</v>
      </c>
      <c r="G5" s="9">
        <f>SQRT(F5^2+E5^2)</f>
        <v>714.66075868204769</v>
      </c>
      <c r="I5" s="36" t="s">
        <v>156</v>
      </c>
      <c r="J5" s="37">
        <f>J81</f>
        <v>541</v>
      </c>
      <c r="K5" s="37">
        <f>J82</f>
        <v>375</v>
      </c>
      <c r="L5" s="38">
        <f>J78</f>
        <v>986</v>
      </c>
      <c r="M5" s="38">
        <f>J77</f>
        <v>61.9</v>
      </c>
      <c r="N5" s="38">
        <f>J76</f>
        <v>50</v>
      </c>
      <c r="O5" s="38">
        <f>J80</f>
        <v>75</v>
      </c>
      <c r="P5" s="38">
        <f>J83</f>
        <v>746</v>
      </c>
      <c r="Q5" s="38"/>
      <c r="R5" s="38">
        <f>J86</f>
        <v>170</v>
      </c>
    </row>
    <row r="6" spans="2:18" x14ac:dyDescent="0.25">
      <c r="B6" s="13" t="s">
        <v>57</v>
      </c>
      <c r="C6" s="13">
        <v>1570</v>
      </c>
      <c r="D6" s="13">
        <v>1700</v>
      </c>
      <c r="E6" s="14">
        <v>615</v>
      </c>
      <c r="F6" s="13">
        <v>387</v>
      </c>
      <c r="G6" s="14">
        <f t="shared" ref="G6:G10" si="0">SQRT(F6^2+E6^2)</f>
        <v>726.63195635754971</v>
      </c>
    </row>
    <row r="7" spans="2:18" x14ac:dyDescent="0.25">
      <c r="B7" t="s">
        <v>58</v>
      </c>
      <c r="C7">
        <v>1670</v>
      </c>
      <c r="D7">
        <v>1800</v>
      </c>
      <c r="E7" s="9">
        <v>624</v>
      </c>
      <c r="F7">
        <v>399</v>
      </c>
      <c r="G7" s="9">
        <f t="shared" si="0"/>
        <v>740.65984095264673</v>
      </c>
      <c r="I7" s="26" t="s">
        <v>143</v>
      </c>
      <c r="J7" s="20" t="s">
        <v>49</v>
      </c>
      <c r="K7" s="20" t="s">
        <v>50</v>
      </c>
      <c r="L7" s="27" t="s">
        <v>144</v>
      </c>
      <c r="M7" s="27" t="s">
        <v>145</v>
      </c>
      <c r="N7" s="27" t="s">
        <v>146</v>
      </c>
      <c r="O7" s="27" t="s">
        <v>147</v>
      </c>
      <c r="P7" s="27" t="s">
        <v>148</v>
      </c>
      <c r="Q7" s="20"/>
      <c r="R7" s="20" t="s">
        <v>149</v>
      </c>
    </row>
    <row r="8" spans="2:18" x14ac:dyDescent="0.25">
      <c r="B8" s="13" t="s">
        <v>53</v>
      </c>
      <c r="C8" s="13">
        <v>1600</v>
      </c>
      <c r="D8" s="13">
        <v>1720</v>
      </c>
      <c r="E8" s="14">
        <v>602</v>
      </c>
      <c r="F8" s="13">
        <v>391</v>
      </c>
      <c r="G8" s="14">
        <f t="shared" si="0"/>
        <v>717.83354616512599</v>
      </c>
      <c r="I8" s="23" t="s">
        <v>51</v>
      </c>
      <c r="J8" s="28">
        <f>MIN(E$5:E$10,C$14:C$19,C$23:C$27,C$31:C$35,C$39:C$43,C$47:C$49)</f>
        <v>524</v>
      </c>
      <c r="K8" s="28">
        <f>MIN(F$5:F$10,D$14:D$19,D$23:D$27,D$31:D$35,D$39:D$43,D$47:D$49)</f>
        <v>339</v>
      </c>
      <c r="L8" s="20">
        <f>MIN(I26:M26,I42:M42)</f>
        <v>1053</v>
      </c>
      <c r="M8" s="20">
        <f>MIN(I32:M32)</f>
        <v>67</v>
      </c>
      <c r="N8" s="20">
        <f>MIN(I31:M31)</f>
        <v>55</v>
      </c>
      <c r="O8" s="20">
        <f>MIN(I29:M29)</f>
        <v>68</v>
      </c>
      <c r="P8" s="20">
        <f>MIN(I46:M46)</f>
        <v>682</v>
      </c>
      <c r="Q8" s="20"/>
      <c r="R8" s="20">
        <f>MIN(I47:M47)</f>
        <v>170</v>
      </c>
    </row>
    <row r="9" spans="2:18" x14ac:dyDescent="0.25">
      <c r="B9" t="s">
        <v>54</v>
      </c>
      <c r="C9">
        <v>1670</v>
      </c>
      <c r="D9">
        <v>1800</v>
      </c>
      <c r="E9" s="9">
        <v>625</v>
      </c>
      <c r="F9">
        <v>409</v>
      </c>
      <c r="G9" s="9">
        <f t="shared" si="0"/>
        <v>746.93105438186194</v>
      </c>
      <c r="I9" s="23" t="s">
        <v>52</v>
      </c>
      <c r="J9" s="28">
        <f>MAX(E$5:E$10,C$14:C$19,C$23:C$27,C$31:C$35,C$39:C$43,C$47:C$49)</f>
        <v>651</v>
      </c>
      <c r="K9" s="28">
        <f>MAX(F$5:F$10,D$14:D$19,D$23:D$27,D$31:D$35,D$39:D$43,D$47:D$49)</f>
        <v>426</v>
      </c>
      <c r="L9" s="20">
        <f>MAX(I26:M26,I42:M42)</f>
        <v>1120</v>
      </c>
      <c r="M9" s="20">
        <f>MAX(I32:M32)</f>
        <v>67</v>
      </c>
      <c r="N9" s="20">
        <f>MAX(I31:M31)</f>
        <v>55</v>
      </c>
      <c r="O9" s="20">
        <f>MAX(I29:M29)</f>
        <v>68</v>
      </c>
      <c r="P9" s="20">
        <f>MAX(I24:M24,I46:M46)</f>
        <v>852</v>
      </c>
      <c r="Q9" s="20"/>
      <c r="R9" s="20">
        <f>MAX(I47:M47)</f>
        <v>175</v>
      </c>
    </row>
    <row r="10" spans="2:18" x14ac:dyDescent="0.25">
      <c r="B10" t="s">
        <v>55</v>
      </c>
      <c r="C10">
        <v>1750</v>
      </c>
      <c r="D10">
        <v>1880</v>
      </c>
      <c r="E10" s="9">
        <v>651</v>
      </c>
      <c r="F10">
        <v>426</v>
      </c>
      <c r="G10" s="9">
        <f t="shared" si="0"/>
        <v>777.99550127234022</v>
      </c>
      <c r="J10" s="29"/>
      <c r="K10" s="29"/>
    </row>
    <row r="11" spans="2:18" x14ac:dyDescent="0.25">
      <c r="G11" s="9"/>
      <c r="I11" s="26" t="s">
        <v>150</v>
      </c>
      <c r="J11" s="28" t="s">
        <v>49</v>
      </c>
      <c r="K11" s="28" t="s">
        <v>50</v>
      </c>
      <c r="L11" s="27" t="s">
        <v>144</v>
      </c>
      <c r="M11" s="27" t="s">
        <v>145</v>
      </c>
      <c r="N11" s="27" t="s">
        <v>146</v>
      </c>
      <c r="O11" s="27" t="s">
        <v>147</v>
      </c>
      <c r="P11" s="27" t="s">
        <v>148</v>
      </c>
      <c r="Q11" s="20"/>
      <c r="R11" s="20" t="s">
        <v>149</v>
      </c>
    </row>
    <row r="12" spans="2:18" x14ac:dyDescent="0.25">
      <c r="B12" t="s">
        <v>60</v>
      </c>
      <c r="G12" s="9"/>
      <c r="I12" s="23" t="s">
        <v>51</v>
      </c>
      <c r="J12" s="28">
        <f>MIN(E$5:E$10,C$14:C$19,C$23:C$27,C$31:C$35,C$39:C$43,C$47:C$49,I61:M61,I81:N81)</f>
        <v>524</v>
      </c>
      <c r="K12" s="28">
        <f>MIN(F$5:F$10,D$14:D$19,D$23:D$27,D$31:D$35,D$39:D$43,D$47:D$49,I62:M62,I82:N82)</f>
        <v>339</v>
      </c>
      <c r="L12" s="20">
        <f>MIN(I26:M26,I42:M42,I58:M58,I78:N78)</f>
        <v>985</v>
      </c>
      <c r="M12" s="20">
        <f>MIN(I32:M32,I57:M57,I77:N77)</f>
        <v>57.1</v>
      </c>
      <c r="N12" s="20">
        <f>MIN(I31:M31,I56:M56,I76:N76)</f>
        <v>42</v>
      </c>
      <c r="O12" s="20">
        <f>MIN(I29:M29,I60:M60,I80:N80)</f>
        <v>45</v>
      </c>
      <c r="P12" s="20">
        <f>MIN(I24:M24,I46:M46,I63:M63,I83:N83)</f>
        <v>667</v>
      </c>
      <c r="Q12" s="20"/>
      <c r="R12" s="20">
        <f>MIN(I47:M47,I66:M66,I86:N86)</f>
        <v>165</v>
      </c>
    </row>
    <row r="13" spans="2:18" x14ac:dyDescent="0.25">
      <c r="B13" t="s">
        <v>47</v>
      </c>
      <c r="C13" t="s">
        <v>49</v>
      </c>
      <c r="D13" t="s">
        <v>50</v>
      </c>
      <c r="E13" t="s">
        <v>92</v>
      </c>
      <c r="G13" s="9"/>
      <c r="I13" s="23" t="s">
        <v>52</v>
      </c>
      <c r="J13" s="28">
        <f>MAX(E$5:E$10,C$14:C$19,C$23:C$27,C$31:C$35,C$39:C$43,C$47:C$49,I61:M61,I81:N81)</f>
        <v>651</v>
      </c>
      <c r="K13" s="28">
        <f>MAX(F$5:F$10,D$14:D$19,D$23:D$27,D$31:D$35,D$39:D$43,D$47:D$49,I62:M62,I82:N82)</f>
        <v>460</v>
      </c>
      <c r="L13" s="20">
        <f>MAX(I26:M26,I42:M42,I58:M58,I78:N78)</f>
        <v>1174</v>
      </c>
      <c r="M13" s="20">
        <f>MAX(I32:M32,I57:M57,I77:N77)</f>
        <v>108.2</v>
      </c>
      <c r="N13" s="20">
        <f>MAX(I31:M31,I56:M56,I76:N76)</f>
        <v>55</v>
      </c>
      <c r="O13" s="20">
        <f>MAX(I29:M29,I60:M60,I80:N80)</f>
        <v>75</v>
      </c>
      <c r="P13" s="20">
        <f>MAX(I24:M24,I46:M46,I63:M63,I83:N83)</f>
        <v>852</v>
      </c>
      <c r="Q13" s="20"/>
      <c r="R13" s="20">
        <f>MAX(I47:M47,I66:M66,I86:N86)</f>
        <v>175</v>
      </c>
    </row>
    <row r="14" spans="2:18" x14ac:dyDescent="0.25">
      <c r="B14" s="13" t="s">
        <v>56</v>
      </c>
      <c r="C14" s="13">
        <v>607</v>
      </c>
      <c r="D14" s="13">
        <v>339</v>
      </c>
      <c r="E14" s="14">
        <f>SQRT(D14^2+C14^2)</f>
        <v>695.24815713527789</v>
      </c>
      <c r="G14" s="9"/>
    </row>
    <row r="15" spans="2:18" x14ac:dyDescent="0.25">
      <c r="B15" t="s">
        <v>62</v>
      </c>
      <c r="C15">
        <v>626</v>
      </c>
      <c r="D15">
        <v>362</v>
      </c>
      <c r="E15" s="9">
        <f t="shared" ref="E15:E19" si="1">SQRT(D15^2+C15^2)</f>
        <v>723.13207645629996</v>
      </c>
      <c r="G15" s="9"/>
    </row>
    <row r="16" spans="2:18" x14ac:dyDescent="0.25">
      <c r="B16" s="13" t="s">
        <v>53</v>
      </c>
      <c r="C16" s="13">
        <v>617</v>
      </c>
      <c r="D16" s="13">
        <v>348</v>
      </c>
      <c r="E16" s="14">
        <f t="shared" si="1"/>
        <v>708.37348905785575</v>
      </c>
      <c r="G16" s="9"/>
    </row>
    <row r="17" spans="2:13" x14ac:dyDescent="0.25">
      <c r="B17" t="s">
        <v>54</v>
      </c>
      <c r="C17">
        <v>626</v>
      </c>
      <c r="D17">
        <v>362</v>
      </c>
      <c r="E17" s="9">
        <f t="shared" si="1"/>
        <v>723.13207645629996</v>
      </c>
    </row>
    <row r="18" spans="2:13" x14ac:dyDescent="0.25">
      <c r="B18" t="s">
        <v>55</v>
      </c>
      <c r="C18">
        <v>635</v>
      </c>
      <c r="D18">
        <v>374</v>
      </c>
      <c r="E18" s="9">
        <f t="shared" si="1"/>
        <v>736.95386558454254</v>
      </c>
      <c r="H18" t="s">
        <v>151</v>
      </c>
    </row>
    <row r="19" spans="2:13" x14ac:dyDescent="0.25">
      <c r="B19" t="s">
        <v>61</v>
      </c>
      <c r="C19">
        <v>645</v>
      </c>
      <c r="D19">
        <v>390</v>
      </c>
      <c r="E19" s="9">
        <f t="shared" si="1"/>
        <v>753.74067158406672</v>
      </c>
      <c r="H19" s="10"/>
      <c r="I19" s="15" t="s">
        <v>69</v>
      </c>
      <c r="J19" s="10" t="s">
        <v>70</v>
      </c>
      <c r="K19" s="10" t="s">
        <v>71</v>
      </c>
      <c r="L19" s="10" t="s">
        <v>72</v>
      </c>
      <c r="M19" s="10" t="s">
        <v>73</v>
      </c>
    </row>
    <row r="20" spans="2:13" ht="15.75" thickBot="1" x14ac:dyDescent="0.3">
      <c r="H20" s="11" t="s">
        <v>74</v>
      </c>
      <c r="I20" s="16">
        <v>400</v>
      </c>
      <c r="J20" s="12">
        <v>450</v>
      </c>
      <c r="K20" s="12">
        <v>500</v>
      </c>
      <c r="L20" s="12">
        <v>550</v>
      </c>
      <c r="M20" s="12">
        <v>600</v>
      </c>
    </row>
    <row r="21" spans="2:13" ht="15.75" thickBot="1" x14ac:dyDescent="0.3">
      <c r="B21" t="s">
        <v>63</v>
      </c>
      <c r="H21" s="11" t="s">
        <v>75</v>
      </c>
      <c r="I21" s="16">
        <v>557</v>
      </c>
      <c r="J21" s="12">
        <v>573</v>
      </c>
      <c r="K21" s="12">
        <v>588</v>
      </c>
      <c r="L21" s="12">
        <v>603</v>
      </c>
      <c r="M21" s="12">
        <v>619</v>
      </c>
    </row>
    <row r="22" spans="2:13" ht="15.75" thickBot="1" x14ac:dyDescent="0.3">
      <c r="B22" t="s">
        <v>47</v>
      </c>
      <c r="C22" t="s">
        <v>49</v>
      </c>
      <c r="D22" t="s">
        <v>50</v>
      </c>
      <c r="E22" t="s">
        <v>92</v>
      </c>
      <c r="H22" s="11" t="s">
        <v>76</v>
      </c>
      <c r="I22" s="16">
        <v>70</v>
      </c>
      <c r="J22" s="12">
        <v>70</v>
      </c>
      <c r="K22" s="12">
        <v>70</v>
      </c>
      <c r="L22" s="12">
        <v>70</v>
      </c>
      <c r="M22" s="12">
        <v>70</v>
      </c>
    </row>
    <row r="23" spans="2:13" ht="15.75" thickBot="1" x14ac:dyDescent="0.3">
      <c r="B23" s="13" t="s">
        <v>64</v>
      </c>
      <c r="C23" s="13">
        <v>584</v>
      </c>
      <c r="D23" s="13">
        <v>389</v>
      </c>
      <c r="E23" s="14">
        <f>SQRT(D23^2+C23^2)</f>
        <v>701.6958030371851</v>
      </c>
      <c r="H23" s="11" t="s">
        <v>78</v>
      </c>
      <c r="I23" s="16">
        <v>73</v>
      </c>
      <c r="J23" s="12">
        <v>73</v>
      </c>
      <c r="K23" s="12">
        <v>73</v>
      </c>
      <c r="L23" s="12">
        <v>73</v>
      </c>
      <c r="M23" s="12">
        <v>73</v>
      </c>
    </row>
    <row r="24" spans="2:13" ht="15.75" thickBot="1" x14ac:dyDescent="0.3">
      <c r="B24" t="s">
        <v>65</v>
      </c>
      <c r="C24">
        <v>599</v>
      </c>
      <c r="D24">
        <v>398</v>
      </c>
      <c r="E24" s="9">
        <f t="shared" ref="E24:E27" si="2">SQRT(D24^2+C24^2)</f>
        <v>719.16966009419502</v>
      </c>
      <c r="H24" s="11" t="s">
        <v>80</v>
      </c>
      <c r="I24" s="16">
        <v>690</v>
      </c>
      <c r="J24" s="12">
        <v>731</v>
      </c>
      <c r="K24" s="12">
        <v>772</v>
      </c>
      <c r="L24" s="12">
        <v>812</v>
      </c>
      <c r="M24" s="12">
        <v>852</v>
      </c>
    </row>
    <row r="25" spans="2:13" ht="15.75" thickBot="1" x14ac:dyDescent="0.3">
      <c r="B25" t="s">
        <v>66</v>
      </c>
      <c r="C25">
        <v>616</v>
      </c>
      <c r="D25">
        <v>407</v>
      </c>
      <c r="E25" s="9">
        <f t="shared" si="2"/>
        <v>738.31226456019272</v>
      </c>
      <c r="H25" s="11" t="s">
        <v>81</v>
      </c>
      <c r="I25" s="16">
        <v>134</v>
      </c>
      <c r="J25" s="12">
        <v>160</v>
      </c>
      <c r="K25" s="12">
        <v>185</v>
      </c>
      <c r="L25" s="12">
        <v>211</v>
      </c>
      <c r="M25" s="12">
        <v>236</v>
      </c>
    </row>
    <row r="26" spans="2:13" ht="15.75" thickBot="1" x14ac:dyDescent="0.3">
      <c r="B26" t="s">
        <v>67</v>
      </c>
      <c r="C26">
        <v>632</v>
      </c>
      <c r="D26">
        <v>415</v>
      </c>
      <c r="E26" s="9">
        <f t="shared" si="2"/>
        <v>756.07473175606128</v>
      </c>
      <c r="H26" s="11" t="s">
        <v>82</v>
      </c>
      <c r="I26" s="16">
        <v>1053</v>
      </c>
      <c r="J26" s="12">
        <v>1070</v>
      </c>
      <c r="K26" s="12">
        <v>1086</v>
      </c>
      <c r="L26" s="12">
        <v>1103</v>
      </c>
      <c r="M26" s="12">
        <v>1120</v>
      </c>
    </row>
    <row r="27" spans="2:13" ht="15.75" thickBot="1" x14ac:dyDescent="0.3">
      <c r="B27" t="s">
        <v>68</v>
      </c>
      <c r="C27">
        <v>645</v>
      </c>
      <c r="D27">
        <v>425</v>
      </c>
      <c r="E27" s="9">
        <f t="shared" si="2"/>
        <v>772.43122671212609</v>
      </c>
      <c r="H27" s="11" t="s">
        <v>83</v>
      </c>
      <c r="I27" s="16">
        <v>627</v>
      </c>
      <c r="J27" s="12">
        <v>644</v>
      </c>
      <c r="K27" s="12">
        <v>660</v>
      </c>
      <c r="L27" s="12">
        <v>677</v>
      </c>
      <c r="M27" s="12">
        <v>694</v>
      </c>
    </row>
    <row r="28" spans="2:13" ht="15.75" thickBot="1" x14ac:dyDescent="0.3">
      <c r="H28" s="11" t="s">
        <v>84</v>
      </c>
      <c r="I28" s="16">
        <v>435</v>
      </c>
      <c r="J28" s="12">
        <v>435</v>
      </c>
      <c r="K28" s="12">
        <v>435</v>
      </c>
      <c r="L28" s="12">
        <v>435</v>
      </c>
      <c r="M28" s="12">
        <v>435</v>
      </c>
    </row>
    <row r="29" spans="2:13" ht="15.75" thickBot="1" x14ac:dyDescent="0.3">
      <c r="B29" t="s">
        <v>151</v>
      </c>
      <c r="H29" s="11" t="s">
        <v>85</v>
      </c>
      <c r="I29" s="16">
        <v>68</v>
      </c>
      <c r="J29" s="12">
        <v>68</v>
      </c>
      <c r="K29" s="12">
        <v>68</v>
      </c>
      <c r="L29" s="12">
        <v>68</v>
      </c>
      <c r="M29" s="12">
        <v>68</v>
      </c>
    </row>
    <row r="30" spans="2:13" ht="15.75" thickBot="1" x14ac:dyDescent="0.3">
      <c r="B30" t="s">
        <v>47</v>
      </c>
      <c r="C30" t="s">
        <v>49</v>
      </c>
      <c r="D30" t="s">
        <v>50</v>
      </c>
      <c r="E30" t="s">
        <v>92</v>
      </c>
      <c r="H30" s="11" t="s">
        <v>86</v>
      </c>
      <c r="I30" s="16">
        <v>277</v>
      </c>
      <c r="J30" s="12">
        <v>277</v>
      </c>
      <c r="K30" s="12">
        <v>277</v>
      </c>
      <c r="L30" s="12">
        <v>277</v>
      </c>
      <c r="M30" s="12">
        <v>277</v>
      </c>
    </row>
    <row r="31" spans="2:13" ht="15.75" thickBot="1" x14ac:dyDescent="0.3">
      <c r="B31" s="13" t="s">
        <v>64</v>
      </c>
      <c r="C31" s="13">
        <v>554</v>
      </c>
      <c r="D31" s="13">
        <v>388</v>
      </c>
      <c r="E31" s="14">
        <f>SQRT(D31^2+C31^2)</f>
        <v>676.35789342625401</v>
      </c>
      <c r="H31" s="11" t="s">
        <v>87</v>
      </c>
      <c r="I31" s="16">
        <v>55</v>
      </c>
      <c r="J31" s="12">
        <v>55</v>
      </c>
      <c r="K31" s="12">
        <v>55</v>
      </c>
      <c r="L31" s="12">
        <v>55</v>
      </c>
      <c r="M31" s="12">
        <v>55</v>
      </c>
    </row>
    <row r="32" spans="2:13" ht="15.75" thickBot="1" x14ac:dyDescent="0.3">
      <c r="B32" t="s">
        <v>65</v>
      </c>
      <c r="C32">
        <v>578</v>
      </c>
      <c r="D32">
        <v>396</v>
      </c>
      <c r="E32" s="9">
        <f t="shared" ref="E32:E35" si="3">SQRT(D32^2+C32^2)</f>
        <v>700.64256222413439</v>
      </c>
      <c r="H32" s="11" t="s">
        <v>88</v>
      </c>
      <c r="I32" s="16">
        <v>67</v>
      </c>
      <c r="J32" s="12">
        <v>67</v>
      </c>
      <c r="K32" s="12">
        <v>67</v>
      </c>
      <c r="L32" s="12">
        <v>67</v>
      </c>
      <c r="M32" s="12">
        <v>67</v>
      </c>
    </row>
    <row r="33" spans="2:13" ht="15.75" thickBot="1" x14ac:dyDescent="0.3">
      <c r="B33" t="s">
        <v>66</v>
      </c>
      <c r="C33">
        <v>602</v>
      </c>
      <c r="D33">
        <v>404</v>
      </c>
      <c r="E33" s="9">
        <f t="shared" si="3"/>
        <v>724.99655171593747</v>
      </c>
      <c r="H33" s="11" t="s">
        <v>89</v>
      </c>
      <c r="I33" s="16">
        <v>554</v>
      </c>
      <c r="J33" s="12">
        <v>578</v>
      </c>
      <c r="K33" s="12">
        <v>602</v>
      </c>
      <c r="L33" s="12">
        <v>626</v>
      </c>
      <c r="M33" s="12">
        <v>650</v>
      </c>
    </row>
    <row r="34" spans="2:13" ht="15.75" thickBot="1" x14ac:dyDescent="0.3">
      <c r="B34" t="s">
        <v>67</v>
      </c>
      <c r="C34">
        <v>626</v>
      </c>
      <c r="D34">
        <v>412</v>
      </c>
      <c r="E34" s="9">
        <f t="shared" si="3"/>
        <v>749.4131037018235</v>
      </c>
      <c r="H34" s="11" t="s">
        <v>90</v>
      </c>
      <c r="I34" s="16">
        <v>388</v>
      </c>
      <c r="J34" s="12">
        <v>396</v>
      </c>
      <c r="K34" s="12">
        <v>404</v>
      </c>
      <c r="L34" s="12">
        <v>412</v>
      </c>
      <c r="M34" s="12">
        <v>420</v>
      </c>
    </row>
    <row r="35" spans="2:13" x14ac:dyDescent="0.25">
      <c r="B35" t="s">
        <v>68</v>
      </c>
      <c r="C35">
        <v>650</v>
      </c>
      <c r="D35">
        <v>420</v>
      </c>
      <c r="E35" s="9">
        <f t="shared" si="3"/>
        <v>773.88629655783416</v>
      </c>
    </row>
    <row r="36" spans="2:13" x14ac:dyDescent="0.25">
      <c r="H36" t="s">
        <v>153</v>
      </c>
    </row>
    <row r="37" spans="2:13" x14ac:dyDescent="0.25">
      <c r="B37" t="s">
        <v>152</v>
      </c>
      <c r="G37" s="17"/>
      <c r="I37" t="s">
        <v>95</v>
      </c>
      <c r="J37" s="18" t="s">
        <v>96</v>
      </c>
      <c r="K37" t="s">
        <v>97</v>
      </c>
      <c r="L37" t="s">
        <v>98</v>
      </c>
      <c r="M37" t="s">
        <v>72</v>
      </c>
    </row>
    <row r="38" spans="2:13" x14ac:dyDescent="0.25">
      <c r="B38" t="s">
        <v>47</v>
      </c>
      <c r="C38" t="s">
        <v>49</v>
      </c>
      <c r="D38" t="s">
        <v>50</v>
      </c>
      <c r="E38" t="s">
        <v>92</v>
      </c>
      <c r="G38" s="17" t="s">
        <v>99</v>
      </c>
      <c r="H38" t="s">
        <v>100</v>
      </c>
      <c r="I38" s="17" t="s">
        <v>101</v>
      </c>
      <c r="J38" s="19" t="s">
        <v>102</v>
      </c>
      <c r="K38" s="17" t="s">
        <v>79</v>
      </c>
      <c r="L38" s="17" t="s">
        <v>79</v>
      </c>
      <c r="M38" s="17" t="s">
        <v>79</v>
      </c>
    </row>
    <row r="39" spans="2:13" x14ac:dyDescent="0.25">
      <c r="B39" t="s">
        <v>91</v>
      </c>
      <c r="C39">
        <v>524</v>
      </c>
      <c r="D39">
        <v>400</v>
      </c>
      <c r="E39" s="9">
        <f>SQRT(D39^2+C39^2)</f>
        <v>659.2237859786311</v>
      </c>
      <c r="G39" s="17" t="s">
        <v>103</v>
      </c>
      <c r="H39" t="s">
        <v>111</v>
      </c>
      <c r="I39" s="17">
        <v>550</v>
      </c>
      <c r="J39" s="19">
        <v>565</v>
      </c>
      <c r="K39" s="17">
        <v>580</v>
      </c>
      <c r="L39" s="17">
        <v>595</v>
      </c>
      <c r="M39" s="17">
        <v>610</v>
      </c>
    </row>
    <row r="40" spans="2:13" x14ac:dyDescent="0.25">
      <c r="B40" s="13" t="s">
        <v>64</v>
      </c>
      <c r="C40" s="13">
        <v>538</v>
      </c>
      <c r="D40" s="13">
        <v>406</v>
      </c>
      <c r="E40" s="14">
        <f t="shared" ref="E40:E43" si="4">SQRT(D40^2+C40^2)</f>
        <v>674.00296735251845</v>
      </c>
      <c r="G40" s="17" t="s">
        <v>18</v>
      </c>
      <c r="H40" t="s">
        <v>112</v>
      </c>
      <c r="I40" s="17">
        <v>100</v>
      </c>
      <c r="J40" s="19">
        <v>115</v>
      </c>
      <c r="K40" s="17">
        <v>130</v>
      </c>
      <c r="L40" s="17">
        <v>160</v>
      </c>
      <c r="M40" s="17">
        <v>190</v>
      </c>
    </row>
    <row r="41" spans="2:13" x14ac:dyDescent="0.25">
      <c r="B41" t="s">
        <v>65</v>
      </c>
      <c r="C41">
        <v>556</v>
      </c>
      <c r="D41">
        <v>410</v>
      </c>
      <c r="E41" s="9">
        <f t="shared" si="4"/>
        <v>690.82269794788874</v>
      </c>
      <c r="G41" s="17" t="s">
        <v>104</v>
      </c>
      <c r="H41" t="s">
        <v>105</v>
      </c>
      <c r="I41" s="17" t="s">
        <v>77</v>
      </c>
      <c r="J41" s="19" t="s">
        <v>77</v>
      </c>
      <c r="K41" s="17" t="s">
        <v>106</v>
      </c>
      <c r="L41" s="17" t="s">
        <v>106</v>
      </c>
      <c r="M41" s="17" t="s">
        <v>106</v>
      </c>
    </row>
    <row r="42" spans="2:13" x14ac:dyDescent="0.25">
      <c r="B42" t="s">
        <v>66</v>
      </c>
      <c r="C42">
        <v>585</v>
      </c>
      <c r="D42">
        <v>416</v>
      </c>
      <c r="E42" s="9">
        <f t="shared" si="4"/>
        <v>717.83075999848324</v>
      </c>
      <c r="G42" s="17" t="s">
        <v>107</v>
      </c>
      <c r="H42" t="s">
        <v>113</v>
      </c>
      <c r="I42" s="17">
        <v>1069</v>
      </c>
      <c r="J42" s="19">
        <v>1080</v>
      </c>
      <c r="K42" s="17">
        <v>1081</v>
      </c>
      <c r="L42" s="17">
        <v>1097</v>
      </c>
      <c r="M42" s="17">
        <v>1113</v>
      </c>
    </row>
    <row r="43" spans="2:13" x14ac:dyDescent="0.25">
      <c r="B43" t="s">
        <v>67</v>
      </c>
      <c r="C43">
        <v>613</v>
      </c>
      <c r="D43">
        <v>423</v>
      </c>
      <c r="E43" s="9">
        <f t="shared" si="4"/>
        <v>744.7805045783623</v>
      </c>
      <c r="G43" s="17" t="s">
        <v>108</v>
      </c>
      <c r="H43" t="s">
        <v>114</v>
      </c>
      <c r="I43" s="17">
        <v>451</v>
      </c>
      <c r="J43" s="19">
        <v>451</v>
      </c>
      <c r="K43" s="17">
        <v>451</v>
      </c>
      <c r="L43" s="17">
        <v>451</v>
      </c>
      <c r="M43" s="17">
        <v>451</v>
      </c>
    </row>
    <row r="44" spans="2:13" x14ac:dyDescent="0.25">
      <c r="G44" s="17" t="s">
        <v>109</v>
      </c>
      <c r="H44" t="s">
        <v>115</v>
      </c>
      <c r="I44" s="17">
        <v>524</v>
      </c>
      <c r="J44" s="19">
        <v>538</v>
      </c>
      <c r="K44" s="17">
        <v>556</v>
      </c>
      <c r="L44" s="17">
        <v>585</v>
      </c>
      <c r="M44" s="17">
        <v>613</v>
      </c>
    </row>
    <row r="45" spans="2:13" x14ac:dyDescent="0.25">
      <c r="B45" t="s">
        <v>93</v>
      </c>
      <c r="G45" s="17" t="s">
        <v>98</v>
      </c>
      <c r="H45" t="s">
        <v>116</v>
      </c>
      <c r="I45" s="17">
        <v>400</v>
      </c>
      <c r="J45" s="19">
        <v>406</v>
      </c>
      <c r="K45" s="17">
        <v>410</v>
      </c>
      <c r="L45" s="17">
        <v>416</v>
      </c>
      <c r="M45" s="17">
        <v>423</v>
      </c>
    </row>
    <row r="46" spans="2:13" x14ac:dyDescent="0.25">
      <c r="B46" t="s">
        <v>47</v>
      </c>
      <c r="C46" t="s">
        <v>49</v>
      </c>
      <c r="D46" t="s">
        <v>50</v>
      </c>
      <c r="E46" t="s">
        <v>92</v>
      </c>
      <c r="G46" s="17" t="s">
        <v>97</v>
      </c>
      <c r="H46" t="s">
        <v>117</v>
      </c>
      <c r="I46" s="17">
        <v>682</v>
      </c>
      <c r="J46" s="19">
        <v>713</v>
      </c>
      <c r="K46" s="17">
        <v>755</v>
      </c>
      <c r="L46" s="17">
        <v>796</v>
      </c>
      <c r="M46" s="17">
        <v>838</v>
      </c>
    </row>
    <row r="47" spans="2:13" x14ac:dyDescent="0.25">
      <c r="B47" t="s">
        <v>64</v>
      </c>
      <c r="C47">
        <v>530</v>
      </c>
      <c r="D47">
        <v>380</v>
      </c>
      <c r="E47" s="9">
        <f>SQRT(D47^2+C47^2)</f>
        <v>652.15028942721483</v>
      </c>
      <c r="G47" s="17" t="s">
        <v>110</v>
      </c>
      <c r="H47" t="s">
        <v>118</v>
      </c>
      <c r="I47" s="17">
        <v>170</v>
      </c>
      <c r="J47" s="19">
        <v>170</v>
      </c>
      <c r="K47" s="17">
        <v>175</v>
      </c>
      <c r="L47" s="17">
        <v>175</v>
      </c>
      <c r="M47" s="17">
        <v>175</v>
      </c>
    </row>
    <row r="48" spans="2:13" x14ac:dyDescent="0.25">
      <c r="B48" s="13" t="s">
        <v>65</v>
      </c>
      <c r="C48" s="13">
        <v>554</v>
      </c>
      <c r="D48" s="13">
        <v>388</v>
      </c>
      <c r="E48" s="14">
        <f t="shared" ref="E48:E49" si="5">SQRT(D48^2+C48^2)</f>
        <v>676.35789342625401</v>
      </c>
    </row>
    <row r="49" spans="2:13" x14ac:dyDescent="0.25">
      <c r="B49" t="s">
        <v>94</v>
      </c>
      <c r="C49">
        <v>578</v>
      </c>
      <c r="D49">
        <v>396</v>
      </c>
      <c r="E49" s="9">
        <f t="shared" si="5"/>
        <v>700.64256222413439</v>
      </c>
      <c r="H49" t="s">
        <v>136</v>
      </c>
    </row>
    <row r="50" spans="2:13" x14ac:dyDescent="0.25">
      <c r="I50" t="s">
        <v>95</v>
      </c>
      <c r="J50" s="21" t="s">
        <v>96</v>
      </c>
      <c r="K50" t="s">
        <v>97</v>
      </c>
      <c r="L50" t="s">
        <v>98</v>
      </c>
      <c r="M50" t="s">
        <v>72</v>
      </c>
    </row>
    <row r="51" spans="2:13" x14ac:dyDescent="0.25">
      <c r="G51" s="17" t="s">
        <v>120</v>
      </c>
      <c r="H51" t="s">
        <v>130</v>
      </c>
      <c r="I51" s="17">
        <v>370</v>
      </c>
      <c r="J51" s="22">
        <v>390</v>
      </c>
      <c r="K51" s="17">
        <v>445</v>
      </c>
      <c r="L51" s="17">
        <v>480</v>
      </c>
      <c r="M51" s="17">
        <v>530</v>
      </c>
    </row>
    <row r="52" spans="2:13" x14ac:dyDescent="0.25">
      <c r="G52" s="17" t="s">
        <v>99</v>
      </c>
      <c r="H52" t="s">
        <v>100</v>
      </c>
      <c r="I52" s="17" t="s">
        <v>102</v>
      </c>
      <c r="J52" s="22" t="s">
        <v>102</v>
      </c>
      <c r="K52" s="17" t="s">
        <v>102</v>
      </c>
      <c r="L52" s="17" t="s">
        <v>102</v>
      </c>
      <c r="M52" s="17" t="s">
        <v>102</v>
      </c>
    </row>
    <row r="53" spans="2:13" x14ac:dyDescent="0.25">
      <c r="G53" s="17" t="s">
        <v>103</v>
      </c>
      <c r="H53" t="s">
        <v>111</v>
      </c>
      <c r="I53" s="17">
        <v>565</v>
      </c>
      <c r="J53" s="22">
        <v>585</v>
      </c>
      <c r="K53" s="17">
        <v>605</v>
      </c>
      <c r="L53" s="17">
        <v>625</v>
      </c>
      <c r="M53" s="17">
        <v>645</v>
      </c>
    </row>
    <row r="54" spans="2:13" x14ac:dyDescent="0.25">
      <c r="G54" s="17" t="s">
        <v>18</v>
      </c>
      <c r="H54" t="s">
        <v>112</v>
      </c>
      <c r="I54" s="17">
        <v>95</v>
      </c>
      <c r="J54" s="22">
        <v>100</v>
      </c>
      <c r="K54" s="17">
        <v>110</v>
      </c>
      <c r="L54" s="17">
        <v>125</v>
      </c>
      <c r="M54" s="17">
        <v>140</v>
      </c>
    </row>
    <row r="55" spans="2:13" x14ac:dyDescent="0.25">
      <c r="G55" s="17" t="s">
        <v>104</v>
      </c>
      <c r="H55" t="s">
        <v>105</v>
      </c>
      <c r="I55" s="17" t="s">
        <v>121</v>
      </c>
      <c r="J55" s="22" t="s">
        <v>121</v>
      </c>
      <c r="K55" s="17" t="s">
        <v>121</v>
      </c>
      <c r="L55" s="17" t="s">
        <v>121</v>
      </c>
      <c r="M55" s="17" t="s">
        <v>121</v>
      </c>
    </row>
    <row r="56" spans="2:13" x14ac:dyDescent="0.25">
      <c r="G56" s="17" t="s">
        <v>122</v>
      </c>
      <c r="H56" t="s">
        <v>131</v>
      </c>
      <c r="I56" s="17">
        <v>42</v>
      </c>
      <c r="J56" s="22">
        <v>42</v>
      </c>
      <c r="K56" s="17">
        <v>42</v>
      </c>
      <c r="L56" s="17">
        <v>42</v>
      </c>
      <c r="M56" s="17">
        <v>42</v>
      </c>
    </row>
    <row r="57" spans="2:13" x14ac:dyDescent="0.25">
      <c r="G57" s="17" t="s">
        <v>123</v>
      </c>
      <c r="H57" t="s">
        <v>132</v>
      </c>
      <c r="I57" s="17">
        <v>108.2</v>
      </c>
      <c r="J57" s="22">
        <v>108.2</v>
      </c>
      <c r="K57" s="17">
        <v>108.2</v>
      </c>
      <c r="L57" s="17">
        <v>108.2</v>
      </c>
      <c r="M57" s="17">
        <v>108.2</v>
      </c>
    </row>
    <row r="58" spans="2:13" x14ac:dyDescent="0.25">
      <c r="G58" s="17" t="s">
        <v>107</v>
      </c>
      <c r="H58" t="s">
        <v>113</v>
      </c>
      <c r="I58" s="17">
        <v>1089</v>
      </c>
      <c r="J58" s="22">
        <v>1110</v>
      </c>
      <c r="K58" s="17">
        <v>1131</v>
      </c>
      <c r="L58" s="17">
        <v>1153</v>
      </c>
      <c r="M58" s="17">
        <v>1174</v>
      </c>
    </row>
    <row r="59" spans="2:13" x14ac:dyDescent="0.25">
      <c r="G59" s="17" t="s">
        <v>108</v>
      </c>
      <c r="H59" t="s">
        <v>114</v>
      </c>
      <c r="I59" s="17">
        <v>425</v>
      </c>
      <c r="J59" s="22">
        <v>425</v>
      </c>
      <c r="K59" s="17">
        <v>425</v>
      </c>
      <c r="L59" s="17">
        <v>425</v>
      </c>
      <c r="M59" s="17">
        <v>425</v>
      </c>
    </row>
    <row r="60" spans="2:13" x14ac:dyDescent="0.25">
      <c r="G60" s="17" t="s">
        <v>124</v>
      </c>
      <c r="H60" t="s">
        <v>133</v>
      </c>
      <c r="I60" s="17">
        <v>45</v>
      </c>
      <c r="J60" s="22">
        <v>45</v>
      </c>
      <c r="K60" s="17">
        <v>45</v>
      </c>
      <c r="L60" s="17">
        <v>45</v>
      </c>
      <c r="M60" s="17">
        <v>45</v>
      </c>
    </row>
    <row r="61" spans="2:13" x14ac:dyDescent="0.25">
      <c r="G61" s="17" t="s">
        <v>109</v>
      </c>
      <c r="H61" t="s">
        <v>115</v>
      </c>
      <c r="I61" s="17">
        <v>584</v>
      </c>
      <c r="J61" s="22">
        <v>588</v>
      </c>
      <c r="K61" s="17">
        <v>598</v>
      </c>
      <c r="L61" s="17">
        <v>611</v>
      </c>
      <c r="M61" s="17">
        <v>625</v>
      </c>
    </row>
    <row r="62" spans="2:13" x14ac:dyDescent="0.25">
      <c r="G62" s="17" t="s">
        <v>98</v>
      </c>
      <c r="H62" t="s">
        <v>116</v>
      </c>
      <c r="I62" s="17">
        <v>392</v>
      </c>
      <c r="J62" s="22">
        <v>411</v>
      </c>
      <c r="K62" s="17">
        <v>428</v>
      </c>
      <c r="L62" s="17">
        <v>444</v>
      </c>
      <c r="M62" s="17">
        <v>460</v>
      </c>
    </row>
    <row r="63" spans="2:13" x14ac:dyDescent="0.25">
      <c r="G63" s="17" t="s">
        <v>97</v>
      </c>
      <c r="H63" t="s">
        <v>117</v>
      </c>
      <c r="I63" s="17">
        <v>667</v>
      </c>
      <c r="J63" s="22">
        <v>691</v>
      </c>
      <c r="K63" s="17">
        <v>731</v>
      </c>
      <c r="L63" s="17">
        <v>745</v>
      </c>
      <c r="M63" s="17">
        <v>784</v>
      </c>
    </row>
    <row r="64" spans="2:13" x14ac:dyDescent="0.25">
      <c r="G64" s="17" t="s">
        <v>125</v>
      </c>
      <c r="H64" t="s">
        <v>134</v>
      </c>
      <c r="I64" s="17">
        <v>780</v>
      </c>
      <c r="J64" s="22">
        <v>780</v>
      </c>
      <c r="K64" s="17">
        <v>780</v>
      </c>
      <c r="L64" s="17">
        <v>780</v>
      </c>
      <c r="M64" s="17">
        <v>780</v>
      </c>
    </row>
    <row r="65" spans="7:14" x14ac:dyDescent="0.25">
      <c r="G65" s="17" t="s">
        <v>126</v>
      </c>
      <c r="H65" t="s">
        <v>135</v>
      </c>
      <c r="I65" s="17">
        <v>40</v>
      </c>
      <c r="J65" s="22">
        <v>40</v>
      </c>
      <c r="K65" s="17">
        <v>50</v>
      </c>
      <c r="L65" s="17">
        <v>60</v>
      </c>
      <c r="M65" s="17">
        <v>70</v>
      </c>
    </row>
    <row r="66" spans="7:14" x14ac:dyDescent="0.25">
      <c r="G66" s="17" t="s">
        <v>110</v>
      </c>
      <c r="H66" t="s">
        <v>118</v>
      </c>
      <c r="I66" s="17">
        <v>170</v>
      </c>
      <c r="J66" s="22">
        <v>170</v>
      </c>
      <c r="K66" s="17">
        <v>175</v>
      </c>
      <c r="L66" s="17">
        <v>175</v>
      </c>
      <c r="M66" s="17">
        <v>175</v>
      </c>
    </row>
    <row r="67" spans="7:14" x14ac:dyDescent="0.25">
      <c r="G67" s="17" t="s">
        <v>127</v>
      </c>
      <c r="H67" t="s">
        <v>128</v>
      </c>
      <c r="I67" s="17" t="s">
        <v>129</v>
      </c>
      <c r="J67" s="22" t="s">
        <v>129</v>
      </c>
      <c r="K67" s="17" t="s">
        <v>129</v>
      </c>
      <c r="L67" s="17" t="s">
        <v>129</v>
      </c>
      <c r="M67" s="17" t="s">
        <v>129</v>
      </c>
    </row>
    <row r="69" spans="7:14" x14ac:dyDescent="0.25">
      <c r="H69" t="s">
        <v>142</v>
      </c>
    </row>
    <row r="70" spans="7:14" x14ac:dyDescent="0.25">
      <c r="I70" t="s">
        <v>95</v>
      </c>
      <c r="J70" s="24" t="s">
        <v>96</v>
      </c>
      <c r="K70" t="s">
        <v>97</v>
      </c>
      <c r="L70" t="s">
        <v>137</v>
      </c>
      <c r="M70" t="s">
        <v>98</v>
      </c>
      <c r="N70" t="s">
        <v>72</v>
      </c>
    </row>
    <row r="71" spans="7:14" x14ac:dyDescent="0.25">
      <c r="G71" s="17" t="s">
        <v>120</v>
      </c>
      <c r="H71" s="3" t="s">
        <v>130</v>
      </c>
      <c r="I71" s="17">
        <v>430</v>
      </c>
      <c r="J71" s="25">
        <v>465</v>
      </c>
      <c r="K71" s="17">
        <v>500</v>
      </c>
      <c r="L71" s="17">
        <v>535</v>
      </c>
      <c r="M71" s="17">
        <v>555</v>
      </c>
      <c r="N71" s="17">
        <v>585</v>
      </c>
    </row>
    <row r="72" spans="7:14" x14ac:dyDescent="0.25">
      <c r="G72" s="17" t="s">
        <v>99</v>
      </c>
      <c r="H72" s="3" t="s">
        <v>100</v>
      </c>
      <c r="I72" s="17" t="s">
        <v>138</v>
      </c>
      <c r="J72" s="25" t="s">
        <v>101</v>
      </c>
      <c r="K72" s="17" t="s">
        <v>102</v>
      </c>
      <c r="L72" s="17" t="s">
        <v>79</v>
      </c>
      <c r="M72" s="17" t="s">
        <v>79</v>
      </c>
      <c r="N72" s="17" t="s">
        <v>139</v>
      </c>
    </row>
    <row r="73" spans="7:14" x14ac:dyDescent="0.25">
      <c r="G73" s="17" t="s">
        <v>103</v>
      </c>
      <c r="H73" s="3" t="s">
        <v>111</v>
      </c>
      <c r="I73" s="17">
        <v>515</v>
      </c>
      <c r="J73" s="25">
        <v>530</v>
      </c>
      <c r="K73" s="17">
        <v>545</v>
      </c>
      <c r="L73" s="17">
        <v>560</v>
      </c>
      <c r="M73" s="17">
        <v>575</v>
      </c>
      <c r="N73" s="17">
        <v>595</v>
      </c>
    </row>
    <row r="74" spans="7:14" x14ac:dyDescent="0.25">
      <c r="G74" s="17" t="s">
        <v>18</v>
      </c>
      <c r="H74" s="3" t="s">
        <v>112</v>
      </c>
      <c r="I74" s="17">
        <v>123</v>
      </c>
      <c r="J74" s="25">
        <v>138</v>
      </c>
      <c r="K74" s="17">
        <v>158</v>
      </c>
      <c r="L74" s="17">
        <v>178</v>
      </c>
      <c r="M74" s="17">
        <v>198</v>
      </c>
      <c r="N74" s="17">
        <v>218</v>
      </c>
    </row>
    <row r="75" spans="7:14" x14ac:dyDescent="0.25">
      <c r="G75" s="17" t="s">
        <v>104</v>
      </c>
      <c r="H75" s="3" t="s">
        <v>105</v>
      </c>
      <c r="I75" s="17" t="s">
        <v>106</v>
      </c>
      <c r="J75" s="25" t="s">
        <v>140</v>
      </c>
      <c r="K75" s="17" t="s">
        <v>139</v>
      </c>
      <c r="L75" s="17" t="s">
        <v>139</v>
      </c>
      <c r="M75" s="17" t="s">
        <v>139</v>
      </c>
      <c r="N75" s="17" t="s">
        <v>139</v>
      </c>
    </row>
    <row r="76" spans="7:14" x14ac:dyDescent="0.25">
      <c r="G76" s="17" t="s">
        <v>122</v>
      </c>
      <c r="H76" s="3" t="s">
        <v>131</v>
      </c>
      <c r="I76" s="17">
        <v>50</v>
      </c>
      <c r="J76" s="25">
        <v>50</v>
      </c>
      <c r="K76" s="17">
        <v>50</v>
      </c>
      <c r="L76" s="17">
        <v>50</v>
      </c>
      <c r="M76" s="17">
        <v>50</v>
      </c>
      <c r="N76" s="17">
        <v>50</v>
      </c>
    </row>
    <row r="77" spans="7:14" x14ac:dyDescent="0.25">
      <c r="G77" s="17" t="s">
        <v>123</v>
      </c>
      <c r="H77" s="3" t="s">
        <v>132</v>
      </c>
      <c r="I77" s="17">
        <v>66.8</v>
      </c>
      <c r="J77" s="25">
        <v>61.9</v>
      </c>
      <c r="K77" s="17">
        <v>57.1</v>
      </c>
      <c r="L77" s="17">
        <v>57.1</v>
      </c>
      <c r="M77" s="17">
        <v>57.1</v>
      </c>
      <c r="N77" s="17">
        <v>57.1</v>
      </c>
    </row>
    <row r="78" spans="7:14" x14ac:dyDescent="0.25">
      <c r="G78" s="17" t="s">
        <v>107</v>
      </c>
      <c r="H78" s="3" t="s">
        <v>113</v>
      </c>
      <c r="I78" s="17">
        <v>985</v>
      </c>
      <c r="J78" s="25">
        <v>986</v>
      </c>
      <c r="K78" s="17">
        <v>990</v>
      </c>
      <c r="L78" s="17">
        <v>1002</v>
      </c>
      <c r="M78" s="17">
        <v>1017</v>
      </c>
      <c r="N78" s="17">
        <v>1031</v>
      </c>
    </row>
    <row r="79" spans="7:14" x14ac:dyDescent="0.25">
      <c r="G79" s="17" t="s">
        <v>108</v>
      </c>
      <c r="H79" s="3" t="s">
        <v>114</v>
      </c>
      <c r="I79" s="17">
        <v>412</v>
      </c>
      <c r="J79" s="25">
        <v>412</v>
      </c>
      <c r="K79" s="17">
        <v>412</v>
      </c>
      <c r="L79" s="17">
        <v>412</v>
      </c>
      <c r="M79" s="17">
        <v>412</v>
      </c>
      <c r="N79" s="17">
        <v>412</v>
      </c>
    </row>
    <row r="80" spans="7:14" x14ac:dyDescent="0.25">
      <c r="G80" s="17" t="s">
        <v>124</v>
      </c>
      <c r="H80" s="3" t="s">
        <v>133</v>
      </c>
      <c r="I80" s="17">
        <v>75</v>
      </c>
      <c r="J80" s="25">
        <v>75</v>
      </c>
      <c r="K80" s="17">
        <v>75</v>
      </c>
      <c r="L80" s="17">
        <v>70</v>
      </c>
      <c r="M80" s="17">
        <v>70</v>
      </c>
      <c r="N80" s="17">
        <v>70</v>
      </c>
    </row>
    <row r="81" spans="7:14" x14ac:dyDescent="0.25">
      <c r="G81" s="17" t="s">
        <v>109</v>
      </c>
      <c r="H81" s="3" t="s">
        <v>115</v>
      </c>
      <c r="I81" s="17">
        <v>524</v>
      </c>
      <c r="J81" s="25">
        <v>541</v>
      </c>
      <c r="K81" s="17">
        <v>563</v>
      </c>
      <c r="L81" s="17">
        <v>577</v>
      </c>
      <c r="M81" s="17">
        <v>596</v>
      </c>
      <c r="N81" s="17">
        <v>615</v>
      </c>
    </row>
    <row r="82" spans="7:14" x14ac:dyDescent="0.25">
      <c r="G82" s="17" t="s">
        <v>98</v>
      </c>
      <c r="H82" s="3" t="s">
        <v>116</v>
      </c>
      <c r="I82" s="17">
        <v>372</v>
      </c>
      <c r="J82" s="25">
        <v>375</v>
      </c>
      <c r="K82" s="17">
        <v>378</v>
      </c>
      <c r="L82" s="17">
        <v>384</v>
      </c>
      <c r="M82" s="17">
        <v>393</v>
      </c>
      <c r="N82" s="17">
        <v>401</v>
      </c>
    </row>
    <row r="83" spans="7:14" x14ac:dyDescent="0.25">
      <c r="G83" s="17" t="s">
        <v>97</v>
      </c>
      <c r="H83" s="3" t="s">
        <v>117</v>
      </c>
      <c r="I83" s="17">
        <v>720</v>
      </c>
      <c r="J83" s="25">
        <v>746</v>
      </c>
      <c r="K83" s="17">
        <v>774</v>
      </c>
      <c r="L83" s="17">
        <v>803</v>
      </c>
      <c r="M83" s="17">
        <v>821</v>
      </c>
      <c r="N83" s="17">
        <v>844</v>
      </c>
    </row>
    <row r="84" spans="7:14" x14ac:dyDescent="0.25">
      <c r="G84" s="17" t="s">
        <v>125</v>
      </c>
      <c r="H84" s="3" t="s">
        <v>134</v>
      </c>
      <c r="I84" s="17">
        <v>400</v>
      </c>
      <c r="J84" s="25">
        <v>400</v>
      </c>
      <c r="K84" s="17">
        <v>420</v>
      </c>
      <c r="L84" s="17">
        <v>420</v>
      </c>
      <c r="M84" s="17">
        <v>440</v>
      </c>
      <c r="N84" s="17">
        <v>440</v>
      </c>
    </row>
    <row r="85" spans="7:14" x14ac:dyDescent="0.25">
      <c r="G85" s="17" t="s">
        <v>126</v>
      </c>
      <c r="H85" s="3" t="s">
        <v>135</v>
      </c>
      <c r="I85" s="17">
        <v>80</v>
      </c>
      <c r="J85" s="25">
        <v>90</v>
      </c>
      <c r="K85" s="17">
        <v>100</v>
      </c>
      <c r="L85" s="17">
        <v>100</v>
      </c>
      <c r="M85" s="17">
        <v>110</v>
      </c>
      <c r="N85" s="17">
        <v>110</v>
      </c>
    </row>
    <row r="86" spans="7:14" x14ac:dyDescent="0.25">
      <c r="G86" s="17" t="s">
        <v>110</v>
      </c>
      <c r="H86" s="3" t="s">
        <v>118</v>
      </c>
      <c r="I86" s="17">
        <v>165</v>
      </c>
      <c r="J86" s="25">
        <v>170</v>
      </c>
      <c r="K86" s="17">
        <v>172.5</v>
      </c>
      <c r="L86" s="17">
        <v>172.5</v>
      </c>
      <c r="M86" s="17">
        <v>175</v>
      </c>
      <c r="N86" s="17">
        <v>175</v>
      </c>
    </row>
    <row r="87" spans="7:14" x14ac:dyDescent="0.25">
      <c r="G87" s="17" t="s">
        <v>127</v>
      </c>
      <c r="H87" s="3" t="s">
        <v>128</v>
      </c>
      <c r="I87" s="17" t="s">
        <v>141</v>
      </c>
      <c r="J87" s="25" t="s">
        <v>141</v>
      </c>
      <c r="K87" s="17" t="s">
        <v>141</v>
      </c>
      <c r="L87" s="17" t="s">
        <v>141</v>
      </c>
      <c r="M87" s="17" t="s">
        <v>141</v>
      </c>
      <c r="N87" s="17" t="s">
        <v>141</v>
      </c>
    </row>
  </sheetData>
  <mergeCells count="1">
    <mergeCell ref="C3:D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bike</vt:lpstr>
      <vt:lpstr>kit</vt:lpstr>
      <vt:lpstr>geometries</vt:lpstr>
    </vt:vector>
  </TitlesOfParts>
  <Company>University of Bath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Rosen</dc:creator>
  <cp:lastModifiedBy>Hannah Rosen</cp:lastModifiedBy>
  <dcterms:created xsi:type="dcterms:W3CDTF">2020-02-10T14:58:41Z</dcterms:created>
  <dcterms:modified xsi:type="dcterms:W3CDTF">2020-02-21T17:23:41Z</dcterms:modified>
</cp:coreProperties>
</file>