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480" yWindow="480" windowWidth="25120" windowHeight="15040"/>
  </bookViews>
  <sheets>
    <sheet name="BOM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3" i="1" l="1"/>
  <c r="K23" i="1"/>
  <c r="J23" i="1"/>
</calcChain>
</file>

<file path=xl/sharedStrings.xml><?xml version="1.0" encoding="utf-8"?>
<sst xmlns="http://schemas.openxmlformats.org/spreadsheetml/2006/main" count="145" uniqueCount="80">
  <si>
    <t>Item</t>
  </si>
  <si>
    <t>Thumbnail</t>
  </si>
  <si>
    <t>Part Number</t>
  </si>
  <si>
    <t>REV</t>
  </si>
  <si>
    <t>Description</t>
  </si>
  <si>
    <t>QTY</t>
  </si>
  <si>
    <t>Size</t>
  </si>
  <si>
    <t>Estimated Cost</t>
  </si>
  <si>
    <t>Material</t>
  </si>
  <si>
    <t>Web Link</t>
  </si>
  <si>
    <t>ST</t>
  </si>
  <si>
    <t>TT</t>
  </si>
  <si>
    <t>DTa</t>
  </si>
  <si>
    <t>DTb</t>
  </si>
  <si>
    <t>SS</t>
  </si>
  <si>
    <t>SSP</t>
  </si>
  <si>
    <t>CS</t>
  </si>
  <si>
    <t>CSP</t>
  </si>
  <si>
    <t>OR0G18180</t>
  </si>
  <si>
    <t>BBSleeve73.42</t>
  </si>
  <si>
    <t>L10-6</t>
  </si>
  <si>
    <t>10-76</t>
  </si>
  <si>
    <t>L21-6</t>
  </si>
  <si>
    <t>29-6</t>
  </si>
  <si>
    <t>LF50-6</t>
  </si>
  <si>
    <t>LM50-6</t>
  </si>
  <si>
    <t>M51-5</t>
  </si>
  <si>
    <t>LM51-6</t>
  </si>
  <si>
    <t>55-6</t>
  </si>
  <si>
    <t>L114-6</t>
  </si>
  <si>
    <t>LINK</t>
  </si>
  <si>
    <t>seat tube</t>
  </si>
  <si>
    <t>top tube</t>
  </si>
  <si>
    <t>down tube A</t>
  </si>
  <si>
    <t>down tube B</t>
  </si>
  <si>
    <t>seatstay</t>
  </si>
  <si>
    <t>seatstay spacer</t>
  </si>
  <si>
    <t>chainstay</t>
  </si>
  <si>
    <t>chainstay spacer</t>
  </si>
  <si>
    <t>head tube</t>
  </si>
  <si>
    <t>bottom bracket</t>
  </si>
  <si>
    <t>single socket tee</t>
  </si>
  <si>
    <t>90 deg side outlet tee</t>
  </si>
  <si>
    <t>30 to 60 deg tee</t>
  </si>
  <si>
    <t>female swivel socket</t>
  </si>
  <si>
    <t>male single swivel socket</t>
  </si>
  <si>
    <t>male double swivel socket</t>
  </si>
  <si>
    <t>120 to 150 deg elbow</t>
  </si>
  <si>
    <t>swivel tee</t>
  </si>
  <si>
    <t>seatpost clamp link</t>
  </si>
  <si>
    <t>n/a</t>
  </si>
  <si>
    <t>[6]</t>
  </si>
  <si>
    <t>[7]</t>
  </si>
  <si>
    <t>Aluminium 6082 T6</t>
  </si>
  <si>
    <t>Steel, Mild</t>
  </si>
  <si>
    <t>Aluminium Cast</t>
  </si>
  <si>
    <t>Iron, Cast</t>
  </si>
  <si>
    <t>https://www.scaffolding-direct.co.uk/5-metre-aluminium-tube-33-7mm-alloy-tube/</t>
  </si>
  <si>
    <t>https://www.framebuilding.com/ZONA.htm</t>
  </si>
  <si>
    <t>https://www.framebuilding.com/NEWPARTSPAGES/Other%20BB%20shells.htm</t>
  </si>
  <si>
    <t>https://keesystems.com/store/fittings/kee-lite/l10-single-socket-tee.html</t>
  </si>
  <si>
    <t>https://keesystems.com/store/fittings/kee-klamp/10-single-socket-tee.html</t>
  </si>
  <si>
    <t>https://keesystems.com/store/fittings/kee-lite/l21-side-outlet-tee.html</t>
  </si>
  <si>
    <t>https://keesystems.com/store/fittings/kee-klamp/29-30-to-60-single-socket-tee.html</t>
  </si>
  <si>
    <t>https://keesystems.com/store/fittings/kee-lite/lf50-female-single-swivel-socket-member.html</t>
  </si>
  <si>
    <t>https://keesystems.com/store/fittings/kee-lite/lm50-male-single-swivel-socket-member.html</t>
  </si>
  <si>
    <t>https://keesystems.com/store/fittings/kee-klamp/m51-male-double-swivel-socket-member.html</t>
  </si>
  <si>
    <t>https://keesystems.com/store/fittings/kee-lite/lm51-male-double-swivel-socket-member.html</t>
  </si>
  <si>
    <t>https://keesystems.com/store/fittings/kee-klamp/55-obtuse-angle-elbow.html</t>
  </si>
  <si>
    <t>https://keesystems.com/store/fittings/kee-lite/l114-swivel-tee.html</t>
  </si>
  <si>
    <t>Vendor</t>
  </si>
  <si>
    <t>Scaffolding Direct</t>
  </si>
  <si>
    <t>Ceeway</t>
  </si>
  <si>
    <t>Kee Systems</t>
  </si>
  <si>
    <t>Custom</t>
  </si>
  <si>
    <t>OD (mm)</t>
  </si>
  <si>
    <t>Mass (kg)</t>
  </si>
  <si>
    <t>Length (mm)</t>
  </si>
  <si>
    <t>combo single socket tee</t>
  </si>
  <si>
    <t>6 &amp;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</si>
</sst>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239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236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7" fillId="0" borderId="0" applyNumberFormat="0" applyFill="0" applyBorder="0" applyAlignment="0" applyProtection="0"/>
  </cellStyleXfs>
  <cellXfs count="257">
    <xf numFmtId="0" fontId="0" fillId="0" borderId="0" xfId="0"/>
    <xf numFmtId="0" fontId="2" fillId="0" borderId="14" xfId="0" applyNumberFormat="1" applyFont="1" applyBorder="1" applyAlignment="1" applyProtection="1"/>
    <xf numFmtId="0" fontId="3" fillId="0" borderId="15" xfId="0" applyNumberFormat="1" applyFont="1" applyBorder="1" applyAlignment="1" applyProtection="1"/>
    <xf numFmtId="0" fontId="4" fillId="0" borderId="16" xfId="0" applyNumberFormat="1" applyFont="1" applyBorder="1" applyAlignment="1" applyProtection="1"/>
    <xf numFmtId="0" fontId="5" fillId="0" borderId="17" xfId="0" applyNumberFormat="1" applyFont="1" applyBorder="1" applyAlignment="1" applyProtection="1"/>
    <xf numFmtId="0" fontId="6" fillId="0" borderId="18" xfId="0" applyNumberFormat="1" applyFont="1" applyBorder="1" applyAlignment="1" applyProtection="1"/>
    <xf numFmtId="0" fontId="7" fillId="0" borderId="19" xfId="0" applyNumberFormat="1" applyFont="1" applyBorder="1" applyAlignment="1" applyProtection="1"/>
    <xf numFmtId="0" fontId="8" fillId="0" borderId="20" xfId="0" applyNumberFormat="1" applyFont="1" applyBorder="1" applyAlignment="1" applyProtection="1"/>
    <xf numFmtId="0" fontId="9" fillId="0" borderId="21" xfId="0" applyNumberFormat="1" applyFont="1" applyBorder="1" applyAlignment="1" applyProtection="1"/>
    <xf numFmtId="0" fontId="10" fillId="0" borderId="22" xfId="0" applyNumberFormat="1" applyFont="1" applyBorder="1" applyAlignment="1" applyProtection="1"/>
    <xf numFmtId="0" fontId="11" fillId="0" borderId="23" xfId="0" applyNumberFormat="1" applyFont="1" applyBorder="1" applyAlignment="1" applyProtection="1"/>
    <xf numFmtId="0" fontId="12" fillId="0" borderId="24" xfId="0" applyNumberFormat="1" applyFont="1" applyBorder="1" applyAlignment="1" applyProtection="1"/>
    <xf numFmtId="0" fontId="13" fillId="0" borderId="25" xfId="0" applyNumberFormat="1" applyFont="1" applyBorder="1" applyAlignment="1" applyProtection="1"/>
    <xf numFmtId="0" fontId="14" fillId="0" borderId="26" xfId="0" applyNumberFormat="1" applyFont="1" applyBorder="1" applyAlignment="1" applyProtection="1"/>
    <xf numFmtId="0" fontId="15" fillId="0" borderId="27" xfId="0" applyNumberFormat="1" applyFont="1" applyBorder="1" applyAlignment="1" applyProtection="1"/>
    <xf numFmtId="0" fontId="16" fillId="0" borderId="28" xfId="0" applyNumberFormat="1" applyFont="1" applyBorder="1" applyAlignment="1" applyProtection="1"/>
    <xf numFmtId="0" fontId="17" fillId="0" borderId="29" xfId="0" applyNumberFormat="1" applyFont="1" applyBorder="1" applyAlignment="1" applyProtection="1"/>
    <xf numFmtId="0" fontId="18" fillId="0" borderId="30" xfId="0" applyNumberFormat="1" applyFont="1" applyBorder="1" applyAlignment="1" applyProtection="1"/>
    <xf numFmtId="0" fontId="19" fillId="0" borderId="31" xfId="0" applyNumberFormat="1" applyFont="1" applyBorder="1" applyAlignment="1" applyProtection="1"/>
    <xf numFmtId="0" fontId="20" fillId="0" borderId="32" xfId="0" applyNumberFormat="1" applyFont="1" applyBorder="1" applyAlignment="1" applyProtection="1"/>
    <xf numFmtId="0" fontId="21" fillId="0" borderId="33" xfId="0" applyNumberFormat="1" applyFont="1" applyBorder="1" applyAlignment="1" applyProtection="1"/>
    <xf numFmtId="0" fontId="22" fillId="0" borderId="34" xfId="0" applyNumberFormat="1" applyFont="1" applyBorder="1" applyAlignment="1" applyProtection="1"/>
    <xf numFmtId="0" fontId="23" fillId="0" borderId="35" xfId="0" applyNumberFormat="1" applyFont="1" applyBorder="1" applyAlignment="1" applyProtection="1"/>
    <xf numFmtId="0" fontId="24" fillId="0" borderId="36" xfId="0" applyNumberFormat="1" applyFont="1" applyBorder="1" applyAlignment="1" applyProtection="1"/>
    <xf numFmtId="0" fontId="25" fillId="0" borderId="37" xfId="0" applyNumberFormat="1" applyFont="1" applyBorder="1" applyAlignment="1" applyProtection="1"/>
    <xf numFmtId="0" fontId="26" fillId="0" borderId="38" xfId="0" applyNumberFormat="1" applyFont="1" applyBorder="1" applyAlignment="1" applyProtection="1"/>
    <xf numFmtId="0" fontId="27" fillId="0" borderId="39" xfId="0" applyNumberFormat="1" applyFont="1" applyBorder="1" applyAlignment="1" applyProtection="1"/>
    <xf numFmtId="0" fontId="28" fillId="0" borderId="40" xfId="0" applyNumberFormat="1" applyFont="1" applyBorder="1" applyAlignment="1" applyProtection="1"/>
    <xf numFmtId="0" fontId="29" fillId="0" borderId="41" xfId="0" applyNumberFormat="1" applyFont="1" applyBorder="1" applyAlignment="1" applyProtection="1"/>
    <xf numFmtId="0" fontId="30" fillId="0" borderId="42" xfId="0" applyNumberFormat="1" applyFont="1" applyBorder="1" applyAlignment="1" applyProtection="1"/>
    <xf numFmtId="0" fontId="31" fillId="0" borderId="43" xfId="0" applyNumberFormat="1" applyFont="1" applyBorder="1" applyAlignment="1" applyProtection="1"/>
    <xf numFmtId="0" fontId="32" fillId="0" borderId="44" xfId="0" applyNumberFormat="1" applyFont="1" applyBorder="1" applyAlignment="1" applyProtection="1"/>
    <xf numFmtId="0" fontId="33" fillId="0" borderId="45" xfId="0" applyNumberFormat="1" applyFont="1" applyBorder="1" applyAlignment="1" applyProtection="1"/>
    <xf numFmtId="0" fontId="34" fillId="0" borderId="46" xfId="0" applyNumberFormat="1" applyFont="1" applyBorder="1" applyAlignment="1" applyProtection="1"/>
    <xf numFmtId="0" fontId="35" fillId="0" borderId="47" xfId="0" applyNumberFormat="1" applyFont="1" applyBorder="1" applyAlignment="1" applyProtection="1"/>
    <xf numFmtId="0" fontId="36" fillId="0" borderId="48" xfId="0" applyNumberFormat="1" applyFont="1" applyBorder="1" applyAlignment="1" applyProtection="1"/>
    <xf numFmtId="0" fontId="37" fillId="0" borderId="49" xfId="0" applyNumberFormat="1" applyFont="1" applyBorder="1" applyAlignment="1" applyProtection="1"/>
    <xf numFmtId="0" fontId="38" fillId="0" borderId="50" xfId="0" applyNumberFormat="1" applyFont="1" applyBorder="1" applyAlignment="1" applyProtection="1"/>
    <xf numFmtId="0" fontId="39" fillId="0" borderId="51" xfId="0" applyNumberFormat="1" applyFont="1" applyBorder="1" applyAlignment="1" applyProtection="1"/>
    <xf numFmtId="0" fontId="40" fillId="0" borderId="52" xfId="0" applyNumberFormat="1" applyFont="1" applyBorder="1" applyAlignment="1" applyProtection="1"/>
    <xf numFmtId="0" fontId="41" fillId="0" borderId="53" xfId="0" applyNumberFormat="1" applyFont="1" applyBorder="1" applyAlignment="1" applyProtection="1"/>
    <xf numFmtId="0" fontId="42" fillId="0" borderId="54" xfId="0" applyNumberFormat="1" applyFont="1" applyBorder="1" applyAlignment="1" applyProtection="1"/>
    <xf numFmtId="0" fontId="43" fillId="0" borderId="55" xfId="0" applyNumberFormat="1" applyFont="1" applyBorder="1" applyAlignment="1" applyProtection="1"/>
    <xf numFmtId="0" fontId="44" fillId="0" borderId="56" xfId="0" applyNumberFormat="1" applyFont="1" applyBorder="1" applyAlignment="1" applyProtection="1"/>
    <xf numFmtId="0" fontId="45" fillId="0" borderId="57" xfId="0" applyNumberFormat="1" applyFont="1" applyBorder="1" applyAlignment="1" applyProtection="1"/>
    <xf numFmtId="0" fontId="46" fillId="0" borderId="58" xfId="0" applyNumberFormat="1" applyFont="1" applyBorder="1" applyAlignment="1" applyProtection="1"/>
    <xf numFmtId="0" fontId="47" fillId="0" borderId="59" xfId="0" applyNumberFormat="1" applyFont="1" applyBorder="1" applyAlignment="1" applyProtection="1"/>
    <xf numFmtId="0" fontId="48" fillId="0" borderId="60" xfId="0" applyNumberFormat="1" applyFont="1" applyBorder="1" applyAlignment="1" applyProtection="1"/>
    <xf numFmtId="0" fontId="49" fillId="0" borderId="61" xfId="0" applyNumberFormat="1" applyFont="1" applyBorder="1" applyAlignment="1" applyProtection="1"/>
    <xf numFmtId="0" fontId="50" fillId="0" borderId="62" xfId="0" applyNumberFormat="1" applyFont="1" applyBorder="1" applyAlignment="1" applyProtection="1"/>
    <xf numFmtId="0" fontId="51" fillId="0" borderId="63" xfId="0" applyNumberFormat="1" applyFont="1" applyBorder="1" applyAlignment="1" applyProtection="1"/>
    <xf numFmtId="0" fontId="52" fillId="0" borderId="64" xfId="0" applyNumberFormat="1" applyFont="1" applyBorder="1" applyAlignment="1" applyProtection="1"/>
    <xf numFmtId="0" fontId="53" fillId="0" borderId="65" xfId="0" applyNumberFormat="1" applyFont="1" applyBorder="1" applyAlignment="1" applyProtection="1"/>
    <xf numFmtId="0" fontId="54" fillId="0" borderId="66" xfId="0" applyNumberFormat="1" applyFont="1" applyBorder="1" applyAlignment="1" applyProtection="1"/>
    <xf numFmtId="0" fontId="55" fillId="0" borderId="67" xfId="0" applyNumberFormat="1" applyFont="1" applyBorder="1" applyAlignment="1" applyProtection="1"/>
    <xf numFmtId="0" fontId="56" fillId="0" borderId="68" xfId="0" applyNumberFormat="1" applyFont="1" applyBorder="1" applyAlignment="1" applyProtection="1"/>
    <xf numFmtId="0" fontId="57" fillId="0" borderId="69" xfId="0" applyNumberFormat="1" applyFont="1" applyBorder="1" applyAlignment="1" applyProtection="1"/>
    <xf numFmtId="0" fontId="58" fillId="0" borderId="70" xfId="0" applyNumberFormat="1" applyFont="1" applyBorder="1" applyAlignment="1" applyProtection="1"/>
    <xf numFmtId="0" fontId="59" fillId="0" borderId="71" xfId="0" applyNumberFormat="1" applyFont="1" applyBorder="1" applyAlignment="1" applyProtection="1"/>
    <xf numFmtId="0" fontId="60" fillId="0" borderId="72" xfId="0" applyNumberFormat="1" applyFont="1" applyBorder="1" applyAlignment="1" applyProtection="1"/>
    <xf numFmtId="0" fontId="61" fillId="0" borderId="73" xfId="0" applyNumberFormat="1" applyFont="1" applyBorder="1" applyAlignment="1" applyProtection="1"/>
    <xf numFmtId="0" fontId="62" fillId="0" borderId="74" xfId="0" applyNumberFormat="1" applyFont="1" applyBorder="1" applyAlignment="1" applyProtection="1"/>
    <xf numFmtId="0" fontId="63" fillId="0" borderId="75" xfId="0" applyNumberFormat="1" applyFont="1" applyBorder="1" applyAlignment="1" applyProtection="1"/>
    <xf numFmtId="0" fontId="64" fillId="0" borderId="76" xfId="0" applyNumberFormat="1" applyFont="1" applyBorder="1" applyAlignment="1" applyProtection="1"/>
    <xf numFmtId="0" fontId="65" fillId="0" borderId="77" xfId="0" applyNumberFormat="1" applyFont="1" applyBorder="1" applyAlignment="1" applyProtection="1"/>
    <xf numFmtId="0" fontId="66" fillId="0" borderId="78" xfId="0" applyNumberFormat="1" applyFont="1" applyBorder="1" applyAlignment="1" applyProtection="1"/>
    <xf numFmtId="0" fontId="67" fillId="0" borderId="79" xfId="0" applyNumberFormat="1" applyFont="1" applyBorder="1" applyAlignment="1" applyProtection="1"/>
    <xf numFmtId="0" fontId="68" fillId="0" borderId="80" xfId="0" applyNumberFormat="1" applyFont="1" applyBorder="1" applyAlignment="1" applyProtection="1"/>
    <xf numFmtId="0" fontId="69" fillId="0" borderId="81" xfId="0" applyNumberFormat="1" applyFont="1" applyBorder="1" applyAlignment="1" applyProtection="1"/>
    <xf numFmtId="0" fontId="70" fillId="0" borderId="82" xfId="0" applyNumberFormat="1" applyFont="1" applyBorder="1" applyAlignment="1" applyProtection="1"/>
    <xf numFmtId="0" fontId="71" fillId="0" borderId="83" xfId="0" applyNumberFormat="1" applyFont="1" applyBorder="1" applyAlignment="1" applyProtection="1"/>
    <xf numFmtId="0" fontId="72" fillId="0" borderId="84" xfId="0" applyNumberFormat="1" applyFont="1" applyBorder="1" applyAlignment="1" applyProtection="1"/>
    <xf numFmtId="0" fontId="73" fillId="0" borderId="85" xfId="0" applyNumberFormat="1" applyFont="1" applyBorder="1" applyAlignment="1" applyProtection="1"/>
    <xf numFmtId="0" fontId="74" fillId="0" borderId="86" xfId="0" applyNumberFormat="1" applyFont="1" applyBorder="1" applyAlignment="1" applyProtection="1"/>
    <xf numFmtId="0" fontId="75" fillId="0" borderId="87" xfId="0" applyNumberFormat="1" applyFont="1" applyBorder="1" applyAlignment="1" applyProtection="1"/>
    <xf numFmtId="0" fontId="76" fillId="0" borderId="89" xfId="0" applyNumberFormat="1" applyFont="1" applyBorder="1" applyAlignment="1" applyProtection="1"/>
    <xf numFmtId="0" fontId="77" fillId="0" borderId="90" xfId="0" applyNumberFormat="1" applyFont="1" applyBorder="1" applyAlignment="1" applyProtection="1"/>
    <xf numFmtId="0" fontId="78" fillId="0" borderId="91" xfId="0" applyNumberFormat="1" applyFont="1" applyBorder="1" applyAlignment="1" applyProtection="1"/>
    <xf numFmtId="0" fontId="79" fillId="0" borderId="92" xfId="0" applyNumberFormat="1" applyFont="1" applyBorder="1" applyAlignment="1" applyProtection="1"/>
    <xf numFmtId="0" fontId="80" fillId="0" borderId="93" xfId="0" applyNumberFormat="1" applyFont="1" applyBorder="1" applyAlignment="1" applyProtection="1"/>
    <xf numFmtId="0" fontId="81" fillId="0" borderId="94" xfId="0" applyNumberFormat="1" applyFont="1" applyBorder="1" applyAlignment="1" applyProtection="1"/>
    <xf numFmtId="0" fontId="82" fillId="0" borderId="95" xfId="0" applyNumberFormat="1" applyFont="1" applyBorder="1" applyAlignment="1" applyProtection="1"/>
    <xf numFmtId="0" fontId="83" fillId="0" borderId="96" xfId="0" applyNumberFormat="1" applyFont="1" applyBorder="1" applyAlignment="1" applyProtection="1"/>
    <xf numFmtId="0" fontId="84" fillId="0" borderId="97" xfId="0" applyNumberFormat="1" applyFont="1" applyBorder="1" applyAlignment="1" applyProtection="1"/>
    <xf numFmtId="0" fontId="85" fillId="0" borderId="98" xfId="0" applyNumberFormat="1" applyFont="1" applyBorder="1" applyAlignment="1" applyProtection="1"/>
    <xf numFmtId="0" fontId="86" fillId="0" borderId="99" xfId="0" applyNumberFormat="1" applyFont="1" applyBorder="1" applyAlignment="1" applyProtection="1"/>
    <xf numFmtId="0" fontId="87" fillId="0" borderId="100" xfId="0" applyNumberFormat="1" applyFont="1" applyBorder="1" applyAlignment="1" applyProtection="1"/>
    <xf numFmtId="0" fontId="88" fillId="0" borderId="101" xfId="0" applyNumberFormat="1" applyFont="1" applyBorder="1" applyAlignment="1" applyProtection="1"/>
    <xf numFmtId="0" fontId="89" fillId="0" borderId="102" xfId="0" applyNumberFormat="1" applyFont="1" applyBorder="1" applyAlignment="1" applyProtection="1"/>
    <xf numFmtId="0" fontId="90" fillId="0" borderId="103" xfId="0" applyNumberFormat="1" applyFont="1" applyBorder="1" applyAlignment="1" applyProtection="1"/>
    <xf numFmtId="0" fontId="91" fillId="0" borderId="104" xfId="0" applyNumberFormat="1" applyFont="1" applyBorder="1" applyAlignment="1" applyProtection="1"/>
    <xf numFmtId="0" fontId="92" fillId="0" borderId="105" xfId="0" applyNumberFormat="1" applyFont="1" applyBorder="1" applyAlignment="1" applyProtection="1"/>
    <xf numFmtId="0" fontId="93" fillId="0" borderId="106" xfId="0" applyNumberFormat="1" applyFont="1" applyBorder="1" applyAlignment="1" applyProtection="1"/>
    <xf numFmtId="0" fontId="94" fillId="0" borderId="107" xfId="0" applyNumberFormat="1" applyFont="1" applyBorder="1" applyAlignment="1" applyProtection="1"/>
    <xf numFmtId="0" fontId="95" fillId="0" borderId="108" xfId="0" applyNumberFormat="1" applyFont="1" applyBorder="1" applyAlignment="1" applyProtection="1"/>
    <xf numFmtId="0" fontId="96" fillId="0" borderId="109" xfId="0" applyNumberFormat="1" applyFont="1" applyBorder="1" applyAlignment="1" applyProtection="1"/>
    <xf numFmtId="0" fontId="97" fillId="0" borderId="110" xfId="0" applyNumberFormat="1" applyFont="1" applyBorder="1" applyAlignment="1" applyProtection="1"/>
    <xf numFmtId="0" fontId="98" fillId="0" borderId="111" xfId="0" applyNumberFormat="1" applyFont="1" applyBorder="1" applyAlignment="1" applyProtection="1"/>
    <xf numFmtId="0" fontId="99" fillId="0" borderId="112" xfId="0" applyNumberFormat="1" applyFont="1" applyBorder="1" applyAlignment="1" applyProtection="1"/>
    <xf numFmtId="0" fontId="100" fillId="0" borderId="113" xfId="0" applyNumberFormat="1" applyFont="1" applyBorder="1" applyAlignment="1" applyProtection="1"/>
    <xf numFmtId="0" fontId="101" fillId="0" borderId="114" xfId="0" applyNumberFormat="1" applyFont="1" applyBorder="1" applyAlignment="1" applyProtection="1"/>
    <xf numFmtId="0" fontId="102" fillId="0" borderId="115" xfId="0" applyNumberFormat="1" applyFont="1" applyBorder="1" applyAlignment="1" applyProtection="1"/>
    <xf numFmtId="0" fontId="103" fillId="0" borderId="116" xfId="0" applyNumberFormat="1" applyFont="1" applyBorder="1" applyAlignment="1" applyProtection="1"/>
    <xf numFmtId="0" fontId="104" fillId="0" borderId="117" xfId="0" applyNumberFormat="1" applyFont="1" applyBorder="1" applyAlignment="1" applyProtection="1"/>
    <xf numFmtId="0" fontId="105" fillId="0" borderId="118" xfId="0" applyNumberFormat="1" applyFont="1" applyBorder="1" applyAlignment="1" applyProtection="1"/>
    <xf numFmtId="0" fontId="149" fillId="0" borderId="162" xfId="0" applyNumberFormat="1" applyFont="1" applyBorder="1" applyAlignment="1" applyProtection="1"/>
    <xf numFmtId="0" fontId="150" fillId="0" borderId="163" xfId="0" applyNumberFormat="1" applyFont="1" applyBorder="1" applyAlignment="1" applyProtection="1"/>
    <xf numFmtId="0" fontId="152" fillId="0" borderId="166" xfId="0" applyNumberFormat="1" applyFont="1" applyBorder="1" applyAlignment="1" applyProtection="1"/>
    <xf numFmtId="0" fontId="194" fillId="0" borderId="209" xfId="0" applyNumberFormat="1" applyFont="1" applyBorder="1" applyAlignment="1" applyProtection="1"/>
    <xf numFmtId="0" fontId="195" fillId="0" borderId="210" xfId="0" applyNumberFormat="1" applyFont="1" applyBorder="1" applyAlignment="1" applyProtection="1"/>
    <xf numFmtId="0" fontId="196" fillId="0" borderId="211" xfId="0" applyNumberFormat="1" applyFont="1" applyBorder="1" applyAlignment="1" applyProtection="1"/>
    <xf numFmtId="0" fontId="197" fillId="0" borderId="212" xfId="0" applyNumberFormat="1" applyFont="1" applyBorder="1" applyAlignment="1" applyProtection="1"/>
    <xf numFmtId="0" fontId="198" fillId="0" borderId="213" xfId="0" applyNumberFormat="1" applyFont="1" applyBorder="1" applyAlignment="1" applyProtection="1"/>
    <xf numFmtId="0" fontId="199" fillId="0" borderId="214" xfId="0" applyNumberFormat="1" applyFont="1" applyBorder="1" applyAlignment="1" applyProtection="1"/>
    <xf numFmtId="0" fontId="200" fillId="0" borderId="215" xfId="0" applyNumberFormat="1" applyFont="1" applyBorder="1" applyAlignment="1" applyProtection="1"/>
    <xf numFmtId="0" fontId="201" fillId="0" borderId="216" xfId="0" applyNumberFormat="1" applyFont="1" applyBorder="1" applyAlignment="1" applyProtection="1"/>
    <xf numFmtId="0" fontId="202" fillId="0" borderId="217" xfId="0" applyNumberFormat="1" applyFont="1" applyBorder="1" applyAlignment="1" applyProtection="1"/>
    <xf numFmtId="0" fontId="203" fillId="0" borderId="218" xfId="0" applyNumberFormat="1" applyFont="1" applyBorder="1" applyAlignment="1" applyProtection="1"/>
    <xf numFmtId="0" fontId="204" fillId="0" borderId="219" xfId="0" applyNumberFormat="1" applyFont="1" applyBorder="1" applyAlignment="1" applyProtection="1"/>
    <xf numFmtId="0" fontId="205" fillId="0" borderId="220" xfId="0" applyNumberFormat="1" applyFont="1" applyBorder="1" applyAlignment="1" applyProtection="1"/>
    <xf numFmtId="0" fontId="206" fillId="0" borderId="221" xfId="0" applyNumberFormat="1" applyFont="1" applyBorder="1" applyAlignment="1" applyProtection="1"/>
    <xf numFmtId="0" fontId="207" fillId="0" borderId="222" xfId="0" applyNumberFormat="1" applyFont="1" applyBorder="1" applyAlignment="1" applyProtection="1"/>
    <xf numFmtId="0" fontId="208" fillId="0" borderId="223" xfId="0" applyNumberFormat="1" applyFont="1" applyBorder="1" applyAlignment="1" applyProtection="1"/>
    <xf numFmtId="0" fontId="209" fillId="0" borderId="224" xfId="0" applyNumberFormat="1" applyFont="1" applyBorder="1" applyAlignment="1" applyProtection="1"/>
    <xf numFmtId="0" fontId="210" fillId="0" borderId="225" xfId="0" applyNumberFormat="1" applyFont="1" applyBorder="1" applyAlignment="1" applyProtection="1"/>
    <xf numFmtId="0" fontId="211" fillId="0" borderId="226" xfId="0" applyNumberFormat="1" applyFont="1" applyBorder="1" applyAlignment="1" applyProtection="1"/>
    <xf numFmtId="0" fontId="212" fillId="0" borderId="227" xfId="0" applyNumberFormat="1" applyFont="1" applyBorder="1" applyAlignment="1" applyProtection="1"/>
    <xf numFmtId="0" fontId="213" fillId="0" borderId="228" xfId="0" applyNumberFormat="1" applyFont="1" applyBorder="1" applyAlignment="1" applyProtection="1"/>
    <xf numFmtId="0" fontId="214" fillId="0" borderId="229" xfId="0" applyNumberFormat="1" applyFont="1" applyBorder="1" applyAlignment="1" applyProtection="1"/>
    <xf numFmtId="0" fontId="215" fillId="0" borderId="230" xfId="0" applyNumberFormat="1" applyFont="1" applyBorder="1" applyAlignment="1" applyProtection="1"/>
    <xf numFmtId="0" fontId="216" fillId="0" borderId="231" xfId="0" applyNumberFormat="1" applyFont="1" applyBorder="1" applyAlignment="1" applyProtection="1"/>
    <xf numFmtId="0" fontId="217" fillId="0" borderId="232" xfId="0" applyNumberFormat="1" applyFont="1" applyBorder="1" applyAlignment="1" applyProtection="1"/>
    <xf numFmtId="0" fontId="218" fillId="0" borderId="233" xfId="0" applyNumberFormat="1" applyFont="1" applyBorder="1" applyAlignment="1" applyProtection="1"/>
    <xf numFmtId="0" fontId="219" fillId="0" borderId="234" xfId="0" applyNumberFormat="1" applyFont="1" applyBorder="1" applyAlignment="1" applyProtection="1"/>
    <xf numFmtId="0" fontId="220" fillId="0" borderId="235" xfId="0" applyNumberFormat="1" applyFont="1" applyBorder="1" applyAlignment="1" applyProtection="1"/>
    <xf numFmtId="0" fontId="221" fillId="0" borderId="236" xfId="0" applyNumberFormat="1" applyFont="1" applyBorder="1" applyAlignment="1" applyProtection="1"/>
    <xf numFmtId="0" fontId="222" fillId="0" borderId="237" xfId="0" applyNumberFormat="1" applyFont="1" applyBorder="1" applyAlignment="1" applyProtection="1"/>
    <xf numFmtId="0" fontId="223" fillId="0" borderId="238" xfId="0" applyNumberFormat="1" applyFont="1" applyBorder="1" applyAlignment="1" applyProtection="1"/>
    <xf numFmtId="0" fontId="224" fillId="0" borderId="239" xfId="0" applyNumberFormat="1" applyFont="1" applyBorder="1" applyAlignment="1" applyProtection="1"/>
    <xf numFmtId="0" fontId="225" fillId="0" borderId="240" xfId="0" applyNumberFormat="1" applyFont="1" applyBorder="1" applyAlignment="1" applyProtection="1"/>
    <xf numFmtId="0" fontId="226" fillId="0" borderId="241" xfId="0" applyNumberFormat="1" applyFont="1" applyBorder="1" applyAlignment="1" applyProtection="1"/>
    <xf numFmtId="0" fontId="227" fillId="0" borderId="242" xfId="0" applyNumberFormat="1" applyFont="1" applyBorder="1" applyAlignment="1" applyProtection="1"/>
    <xf numFmtId="0" fontId="228" fillId="0" borderId="243" xfId="0" applyNumberFormat="1" applyFont="1" applyBorder="1" applyAlignment="1" applyProtection="1"/>
    <xf numFmtId="0" fontId="229" fillId="0" borderId="244" xfId="0" applyNumberFormat="1" applyFont="1" applyBorder="1" applyAlignment="1" applyProtection="1"/>
    <xf numFmtId="0" fontId="230" fillId="0" borderId="245" xfId="0" applyNumberFormat="1" applyFont="1" applyBorder="1" applyAlignment="1" applyProtection="1"/>
    <xf numFmtId="0" fontId="231" fillId="0" borderId="246" xfId="0" applyNumberFormat="1" applyFont="1" applyBorder="1" applyAlignment="1" applyProtection="1"/>
    <xf numFmtId="0" fontId="232" fillId="0" borderId="247" xfId="0" applyNumberFormat="1" applyFont="1" applyBorder="1" applyAlignment="1" applyProtection="1"/>
    <xf numFmtId="0" fontId="233" fillId="0" borderId="248" xfId="0" applyNumberFormat="1" applyFont="1" applyBorder="1" applyAlignment="1" applyProtection="1"/>
    <xf numFmtId="0" fontId="234" fillId="0" borderId="249" xfId="0" applyNumberFormat="1" applyFont="1" applyBorder="1" applyAlignment="1" applyProtection="1"/>
    <xf numFmtId="0" fontId="235" fillId="0" borderId="250" xfId="0" applyNumberFormat="1" applyFont="1" applyBorder="1" applyAlignment="1" applyProtection="1"/>
    <xf numFmtId="164" fontId="173" fillId="0" borderId="188" xfId="0" applyNumberFormat="1" applyFont="1" applyBorder="1" applyAlignment="1" applyProtection="1"/>
    <xf numFmtId="164" fontId="174" fillId="0" borderId="189" xfId="0" applyNumberFormat="1" applyFont="1" applyBorder="1" applyAlignment="1" applyProtection="1"/>
    <xf numFmtId="164" fontId="175" fillId="0" borderId="190" xfId="0" applyNumberFormat="1" applyFont="1" applyBorder="1" applyAlignment="1" applyProtection="1"/>
    <xf numFmtId="164" fontId="176" fillId="0" borderId="191" xfId="0" applyNumberFormat="1" applyFont="1" applyBorder="1" applyAlignment="1" applyProtection="1"/>
    <xf numFmtId="164" fontId="177" fillId="0" borderId="192" xfId="0" applyNumberFormat="1" applyFont="1" applyBorder="1" applyAlignment="1" applyProtection="1"/>
    <xf numFmtId="164" fontId="178" fillId="0" borderId="193" xfId="0" applyNumberFormat="1" applyFont="1" applyBorder="1" applyAlignment="1" applyProtection="1"/>
    <xf numFmtId="164" fontId="179" fillId="0" borderId="194" xfId="0" applyNumberFormat="1" applyFont="1" applyBorder="1" applyAlignment="1" applyProtection="1"/>
    <xf numFmtId="164" fontId="180" fillId="0" borderId="195" xfId="0" applyNumberFormat="1" applyFont="1" applyBorder="1" applyAlignment="1" applyProtection="1"/>
    <xf numFmtId="164" fontId="181" fillId="0" borderId="196" xfId="0" applyNumberFormat="1" applyFont="1" applyBorder="1" applyAlignment="1" applyProtection="1"/>
    <xf numFmtId="164" fontId="182" fillId="0" borderId="197" xfId="0" applyNumberFormat="1" applyFont="1" applyBorder="1" applyAlignment="1" applyProtection="1"/>
    <xf numFmtId="164" fontId="183" fillId="0" borderId="198" xfId="0" applyNumberFormat="1" applyFont="1" applyBorder="1" applyAlignment="1" applyProtection="1"/>
    <xf numFmtId="164" fontId="184" fillId="0" borderId="199" xfId="0" applyNumberFormat="1" applyFont="1" applyBorder="1" applyAlignment="1" applyProtection="1"/>
    <xf numFmtId="164" fontId="185" fillId="0" borderId="200" xfId="0" applyNumberFormat="1" applyFont="1" applyBorder="1" applyAlignment="1" applyProtection="1"/>
    <xf numFmtId="164" fontId="186" fillId="0" borderId="201" xfId="0" applyNumberFormat="1" applyFont="1" applyBorder="1" applyAlignment="1" applyProtection="1"/>
    <xf numFmtId="164" fontId="187" fillId="0" borderId="202" xfId="0" applyNumberFormat="1" applyFont="1" applyBorder="1" applyAlignment="1" applyProtection="1"/>
    <xf numFmtId="164" fontId="188" fillId="0" borderId="203" xfId="0" applyNumberFormat="1" applyFont="1" applyBorder="1" applyAlignment="1" applyProtection="1"/>
    <xf numFmtId="164" fontId="189" fillId="0" borderId="204" xfId="0" applyNumberFormat="1" applyFont="1" applyBorder="1" applyAlignment="1" applyProtection="1"/>
    <xf numFmtId="164" fontId="190" fillId="0" borderId="205" xfId="0" applyNumberFormat="1" applyFont="1" applyBorder="1" applyAlignment="1" applyProtection="1"/>
    <xf numFmtId="164" fontId="191" fillId="0" borderId="206" xfId="0" applyNumberFormat="1" applyFont="1" applyBorder="1" applyAlignment="1" applyProtection="1"/>
    <xf numFmtId="164" fontId="192" fillId="0" borderId="207" xfId="0" applyNumberFormat="1" applyFont="1" applyBorder="1" applyAlignment="1" applyProtection="1"/>
    <xf numFmtId="164" fontId="193" fillId="0" borderId="208" xfId="0" applyNumberFormat="1" applyFont="1" applyBorder="1" applyAlignment="1" applyProtection="1"/>
    <xf numFmtId="49" fontId="148" fillId="0" borderId="161" xfId="0" applyNumberFormat="1" applyFont="1" applyBorder="1" applyAlignment="1" applyProtection="1"/>
    <xf numFmtId="49" fontId="151" fillId="0" borderId="164" xfId="0" applyNumberFormat="1" applyFont="1" applyBorder="1" applyAlignment="1" applyProtection="1"/>
    <xf numFmtId="2" fontId="153" fillId="0" borderId="167" xfId="0" applyNumberFormat="1" applyFont="1" applyBorder="1" applyAlignment="1" applyProtection="1"/>
    <xf numFmtId="2" fontId="154" fillId="0" borderId="168" xfId="0" applyNumberFormat="1" applyFont="1" applyBorder="1" applyAlignment="1" applyProtection="1"/>
    <xf numFmtId="2" fontId="155" fillId="0" borderId="169" xfId="0" applyNumberFormat="1" applyFont="1" applyBorder="1" applyAlignment="1" applyProtection="1"/>
    <xf numFmtId="2" fontId="156" fillId="0" borderId="170" xfId="0" applyNumberFormat="1" applyFont="1" applyBorder="1" applyAlignment="1" applyProtection="1"/>
    <xf numFmtId="2" fontId="157" fillId="0" borderId="171" xfId="0" applyNumberFormat="1" applyFont="1" applyBorder="1" applyAlignment="1" applyProtection="1"/>
    <xf numFmtId="2" fontId="158" fillId="0" borderId="172" xfId="0" applyNumberFormat="1" applyFont="1" applyBorder="1" applyAlignment="1" applyProtection="1"/>
    <xf numFmtId="2" fontId="159" fillId="0" borderId="173" xfId="0" applyNumberFormat="1" applyFont="1" applyBorder="1" applyAlignment="1" applyProtection="1"/>
    <xf numFmtId="2" fontId="160" fillId="0" borderId="174" xfId="0" applyNumberFormat="1" applyFont="1" applyBorder="1" applyAlignment="1" applyProtection="1"/>
    <xf numFmtId="2" fontId="161" fillId="0" borderId="175" xfId="0" applyNumberFormat="1" applyFont="1" applyBorder="1" applyAlignment="1" applyProtection="1"/>
    <xf numFmtId="2" fontId="162" fillId="0" borderId="176" xfId="0" applyNumberFormat="1" applyFont="1" applyBorder="1" applyAlignment="1" applyProtection="1"/>
    <xf numFmtId="2" fontId="163" fillId="0" borderId="177" xfId="0" applyNumberFormat="1" applyFont="1" applyBorder="1" applyAlignment="1" applyProtection="1"/>
    <xf numFmtId="2" fontId="164" fillId="0" borderId="178" xfId="0" applyNumberFormat="1" applyFont="1" applyBorder="1" applyAlignment="1" applyProtection="1"/>
    <xf numFmtId="2" fontId="165" fillId="0" borderId="179" xfId="0" applyNumberFormat="1" applyFont="1" applyBorder="1" applyAlignment="1" applyProtection="1"/>
    <xf numFmtId="2" fontId="166" fillId="0" borderId="180" xfId="0" applyNumberFormat="1" applyFont="1" applyBorder="1" applyAlignment="1" applyProtection="1"/>
    <xf numFmtId="2" fontId="167" fillId="0" borderId="181" xfId="0" applyNumberFormat="1" applyFont="1" applyBorder="1" applyAlignment="1" applyProtection="1"/>
    <xf numFmtId="2" fontId="168" fillId="0" borderId="182" xfId="0" applyNumberFormat="1" applyFont="1" applyBorder="1" applyAlignment="1" applyProtection="1"/>
    <xf numFmtId="2" fontId="0" fillId="0" borderId="183" xfId="0" applyNumberFormat="1" applyFont="1" applyBorder="1" applyAlignment="1" applyProtection="1"/>
    <xf numFmtId="2" fontId="169" fillId="0" borderId="184" xfId="0" applyNumberFormat="1" applyFont="1" applyBorder="1" applyAlignment="1" applyProtection="1"/>
    <xf numFmtId="2" fontId="170" fillId="0" borderId="185" xfId="0" applyNumberFormat="1" applyFont="1" applyBorder="1" applyAlignment="1" applyProtection="1"/>
    <xf numFmtId="2" fontId="171" fillId="0" borderId="186" xfId="0" applyNumberFormat="1" applyFont="1" applyBorder="1" applyAlignment="1" applyProtection="1"/>
    <xf numFmtId="2" fontId="172" fillId="0" borderId="187" xfId="0" applyNumberFormat="1" applyFont="1" applyBorder="1" applyAlignment="1" applyProtection="1"/>
    <xf numFmtId="2" fontId="238" fillId="0" borderId="0" xfId="0" applyNumberFormat="1" applyFont="1"/>
    <xf numFmtId="0" fontId="1" fillId="0" borderId="250" xfId="0" applyNumberFormat="1" applyFont="1" applyBorder="1" applyAlignment="1" applyProtection="1"/>
    <xf numFmtId="0" fontId="238" fillId="0" borderId="1" xfId="0" applyNumberFormat="1" applyFont="1" applyBorder="1" applyAlignment="1" applyProtection="1">
      <alignment wrapText="1"/>
    </xf>
    <xf numFmtId="0" fontId="238" fillId="0" borderId="2" xfId="0" applyNumberFormat="1" applyFont="1" applyBorder="1" applyAlignment="1" applyProtection="1">
      <alignment wrapText="1"/>
    </xf>
    <xf numFmtId="0" fontId="238" fillId="0" borderId="3" xfId="0" applyNumberFormat="1" applyFont="1" applyBorder="1" applyAlignment="1" applyProtection="1">
      <alignment wrapText="1"/>
    </xf>
    <xf numFmtId="0" fontId="238" fillId="0" borderId="4" xfId="0" applyNumberFormat="1" applyFont="1" applyBorder="1" applyAlignment="1" applyProtection="1">
      <alignment wrapText="1"/>
    </xf>
    <xf numFmtId="0" fontId="238" fillId="0" borderId="5" xfId="0" applyNumberFormat="1" applyFont="1" applyBorder="1" applyAlignment="1" applyProtection="1">
      <alignment wrapText="1"/>
    </xf>
    <xf numFmtId="0" fontId="238" fillId="0" borderId="6" xfId="0" applyNumberFormat="1" applyFont="1" applyBorder="1" applyAlignment="1" applyProtection="1">
      <alignment wrapText="1"/>
    </xf>
    <xf numFmtId="0" fontId="238" fillId="0" borderId="7" xfId="0" applyNumberFormat="1" applyFont="1" applyBorder="1" applyAlignment="1" applyProtection="1">
      <alignment wrapText="1"/>
    </xf>
    <xf numFmtId="0" fontId="238" fillId="0" borderId="8" xfId="0" applyNumberFormat="1" applyFont="1" applyBorder="1" applyAlignment="1" applyProtection="1">
      <alignment wrapText="1"/>
    </xf>
    <xf numFmtId="0" fontId="238" fillId="0" borderId="9" xfId="0" applyNumberFormat="1" applyFont="1" applyBorder="1" applyAlignment="1" applyProtection="1">
      <alignment wrapText="1"/>
    </xf>
    <xf numFmtId="0" fontId="238" fillId="0" borderId="10" xfId="0" applyNumberFormat="1" applyFont="1" applyBorder="1" applyAlignment="1" applyProtection="1">
      <alignment wrapText="1"/>
    </xf>
    <xf numFmtId="0" fontId="238" fillId="0" borderId="11" xfId="0" applyNumberFormat="1" applyFont="1" applyBorder="1" applyAlignment="1" applyProtection="1">
      <alignment wrapText="1"/>
    </xf>
    <xf numFmtId="0" fontId="238" fillId="0" borderId="12" xfId="0" applyNumberFormat="1" applyFont="1" applyBorder="1" applyAlignment="1" applyProtection="1">
      <alignment wrapText="1"/>
    </xf>
    <xf numFmtId="0" fontId="238" fillId="0" borderId="250" xfId="0" applyNumberFormat="1" applyFont="1" applyBorder="1" applyAlignment="1" applyProtection="1">
      <alignment wrapText="1"/>
    </xf>
    <xf numFmtId="0" fontId="238" fillId="0" borderId="13" xfId="0" applyNumberFormat="1" applyFont="1" applyBorder="1" applyAlignment="1" applyProtection="1">
      <alignment wrapText="1"/>
    </xf>
    <xf numFmtId="0" fontId="238" fillId="0" borderId="0" xfId="0" applyFont="1" applyAlignment="1">
      <alignment wrapText="1"/>
    </xf>
    <xf numFmtId="0" fontId="106" fillId="0" borderId="119" xfId="0" applyNumberFormat="1" applyFont="1" applyBorder="1" applyAlignment="1" applyProtection="1">
      <alignment horizontal="right"/>
    </xf>
    <xf numFmtId="0" fontId="107" fillId="0" borderId="120" xfId="0" applyNumberFormat="1" applyFont="1" applyBorder="1" applyAlignment="1" applyProtection="1">
      <alignment horizontal="right"/>
    </xf>
    <xf numFmtId="0" fontId="108" fillId="0" borderId="121" xfId="0" applyNumberFormat="1" applyFont="1" applyBorder="1" applyAlignment="1" applyProtection="1">
      <alignment horizontal="right"/>
    </xf>
    <xf numFmtId="0" fontId="109" fillId="0" borderId="122" xfId="0" applyNumberFormat="1" applyFont="1" applyBorder="1" applyAlignment="1" applyProtection="1">
      <alignment horizontal="right"/>
    </xf>
    <xf numFmtId="0" fontId="110" fillId="0" borderId="123" xfId="0" applyNumberFormat="1" applyFont="1" applyBorder="1" applyAlignment="1" applyProtection="1">
      <alignment horizontal="right"/>
    </xf>
    <xf numFmtId="0" fontId="111" fillId="0" borderId="124" xfId="0" applyNumberFormat="1" applyFont="1" applyBorder="1" applyAlignment="1" applyProtection="1">
      <alignment horizontal="right"/>
    </xf>
    <xf numFmtId="0" fontId="112" fillId="0" borderId="125" xfId="0" applyNumberFormat="1" applyFont="1" applyBorder="1" applyAlignment="1" applyProtection="1">
      <alignment horizontal="right"/>
    </xf>
    <xf numFmtId="0" fontId="113" fillId="0" borderId="126" xfId="0" applyNumberFormat="1" applyFont="1" applyBorder="1" applyAlignment="1" applyProtection="1">
      <alignment horizontal="right"/>
    </xf>
    <xf numFmtId="0" fontId="114" fillId="0" borderId="127" xfId="0" applyNumberFormat="1" applyFont="1" applyBorder="1" applyAlignment="1" applyProtection="1">
      <alignment horizontal="right"/>
    </xf>
    <xf numFmtId="0" fontId="115" fillId="0" borderId="128" xfId="0" applyNumberFormat="1" applyFont="1" applyBorder="1" applyAlignment="1" applyProtection="1">
      <alignment horizontal="right"/>
    </xf>
    <xf numFmtId="0" fontId="116" fillId="0" borderId="129" xfId="0" applyNumberFormat="1" applyFont="1" applyBorder="1" applyAlignment="1" applyProtection="1">
      <alignment horizontal="right"/>
    </xf>
    <xf numFmtId="0" fontId="117" fillId="0" borderId="130" xfId="0" applyNumberFormat="1" applyFont="1" applyBorder="1" applyAlignment="1" applyProtection="1">
      <alignment horizontal="right"/>
    </xf>
    <xf numFmtId="0" fontId="118" fillId="0" borderId="131" xfId="0" applyNumberFormat="1" applyFont="1" applyBorder="1" applyAlignment="1" applyProtection="1">
      <alignment horizontal="right"/>
    </xf>
    <xf numFmtId="0" fontId="119" fillId="0" borderId="132" xfId="0" applyNumberFormat="1" applyFont="1" applyBorder="1" applyAlignment="1" applyProtection="1">
      <alignment horizontal="right"/>
    </xf>
    <xf numFmtId="0" fontId="120" fillId="0" borderId="133" xfId="0" applyNumberFormat="1" applyFont="1" applyBorder="1" applyAlignment="1" applyProtection="1">
      <alignment horizontal="right"/>
    </xf>
    <xf numFmtId="0" fontId="121" fillId="0" borderId="134" xfId="0" applyNumberFormat="1" applyFont="1" applyBorder="1" applyAlignment="1" applyProtection="1">
      <alignment horizontal="right"/>
    </xf>
    <xf numFmtId="0" fontId="122" fillId="0" borderId="135" xfId="0" applyNumberFormat="1" applyFont="1" applyBorder="1" applyAlignment="1" applyProtection="1">
      <alignment horizontal="right"/>
    </xf>
    <xf numFmtId="0" fontId="123" fillId="0" borderId="136" xfId="0" applyNumberFormat="1" applyFont="1" applyBorder="1" applyAlignment="1" applyProtection="1">
      <alignment horizontal="right"/>
    </xf>
    <xf numFmtId="0" fontId="124" fillId="0" borderId="137" xfId="0" applyNumberFormat="1" applyFont="1" applyBorder="1" applyAlignment="1" applyProtection="1">
      <alignment horizontal="right"/>
    </xf>
    <xf numFmtId="0" fontId="125" fillId="0" borderId="138" xfId="0" applyNumberFormat="1" applyFont="1" applyBorder="1" applyAlignment="1" applyProtection="1">
      <alignment horizontal="right"/>
    </xf>
    <xf numFmtId="0" fontId="126" fillId="0" borderId="139" xfId="0" applyNumberFormat="1" applyFont="1" applyBorder="1" applyAlignment="1" applyProtection="1">
      <alignment horizontal="right"/>
    </xf>
    <xf numFmtId="0" fontId="238" fillId="0" borderId="0" xfId="0" applyFont="1" applyAlignment="1">
      <alignment horizontal="right"/>
    </xf>
    <xf numFmtId="0" fontId="127" fillId="0" borderId="140" xfId="0" applyNumberFormat="1" applyFont="1" applyBorder="1" applyAlignment="1" applyProtection="1">
      <alignment horizontal="right"/>
    </xf>
    <xf numFmtId="0" fontId="128" fillId="0" borderId="141" xfId="0" applyNumberFormat="1" applyFont="1" applyBorder="1" applyAlignment="1" applyProtection="1">
      <alignment horizontal="right"/>
    </xf>
    <xf numFmtId="0" fontId="129" fillId="0" borderId="142" xfId="0" applyNumberFormat="1" applyFont="1" applyBorder="1" applyAlignment="1" applyProtection="1">
      <alignment horizontal="right"/>
    </xf>
    <xf numFmtId="0" fontId="130" fillId="0" borderId="143" xfId="0" applyNumberFormat="1" applyFont="1" applyBorder="1" applyAlignment="1" applyProtection="1">
      <alignment horizontal="right"/>
    </xf>
    <xf numFmtId="0" fontId="131" fillId="0" borderId="144" xfId="0" applyNumberFormat="1" applyFont="1" applyBorder="1" applyAlignment="1" applyProtection="1">
      <alignment horizontal="right"/>
    </xf>
    <xf numFmtId="0" fontId="132" fillId="0" borderId="145" xfId="0" applyNumberFormat="1" applyFont="1" applyBorder="1" applyAlignment="1" applyProtection="1">
      <alignment horizontal="right"/>
    </xf>
    <xf numFmtId="0" fontId="133" fillId="0" borderId="146" xfId="0" applyNumberFormat="1" applyFont="1" applyBorder="1" applyAlignment="1" applyProtection="1">
      <alignment horizontal="right"/>
    </xf>
    <xf numFmtId="0" fontId="134" fillId="0" borderId="147" xfId="0" applyNumberFormat="1" applyFont="1" applyBorder="1" applyAlignment="1" applyProtection="1">
      <alignment horizontal="right"/>
    </xf>
    <xf numFmtId="0" fontId="135" fillId="0" borderId="148" xfId="0" applyNumberFormat="1" applyFont="1" applyBorder="1" applyAlignment="1" applyProtection="1">
      <alignment horizontal="right"/>
    </xf>
    <xf numFmtId="0" fontId="136" fillId="0" borderId="149" xfId="0" applyNumberFormat="1" applyFont="1" applyBorder="1" applyAlignment="1" applyProtection="1">
      <alignment horizontal="right"/>
    </xf>
    <xf numFmtId="0" fontId="137" fillId="0" borderId="150" xfId="0" applyNumberFormat="1" applyFont="1" applyBorder="1" applyAlignment="1" applyProtection="1">
      <alignment horizontal="right"/>
    </xf>
    <xf numFmtId="0" fontId="138" fillId="0" borderId="151" xfId="0" applyNumberFormat="1" applyFont="1" applyBorder="1" applyAlignment="1" applyProtection="1">
      <alignment horizontal="right"/>
    </xf>
    <xf numFmtId="0" fontId="139" fillId="0" borderId="152" xfId="0" applyNumberFormat="1" applyFont="1" applyBorder="1" applyAlignment="1" applyProtection="1">
      <alignment horizontal="right"/>
    </xf>
    <xf numFmtId="0" fontId="140" fillId="0" borderId="153" xfId="0" applyNumberFormat="1" applyFont="1" applyBorder="1" applyAlignment="1" applyProtection="1">
      <alignment horizontal="right"/>
    </xf>
    <xf numFmtId="0" fontId="141" fillId="0" borderId="154" xfId="0" applyNumberFormat="1" applyFont="1" applyBorder="1" applyAlignment="1" applyProtection="1">
      <alignment horizontal="right"/>
    </xf>
    <xf numFmtId="0" fontId="142" fillId="0" borderId="155" xfId="0" applyNumberFormat="1" applyFont="1" applyBorder="1" applyAlignment="1" applyProtection="1">
      <alignment horizontal="right"/>
    </xf>
    <xf numFmtId="0" fontId="143" fillId="0" borderId="156" xfId="0" applyNumberFormat="1" applyFont="1" applyBorder="1" applyAlignment="1" applyProtection="1">
      <alignment horizontal="right"/>
    </xf>
    <xf numFmtId="0" fontId="144" fillId="0" borderId="157" xfId="0" applyNumberFormat="1" applyFont="1" applyBorder="1" applyAlignment="1" applyProtection="1">
      <alignment horizontal="right"/>
    </xf>
    <xf numFmtId="0" fontId="145" fillId="0" borderId="158" xfId="0" applyNumberFormat="1" applyFont="1" applyBorder="1" applyAlignment="1" applyProtection="1">
      <alignment horizontal="right"/>
    </xf>
    <xf numFmtId="0" fontId="146" fillId="0" borderId="159" xfId="0" applyNumberFormat="1" applyFont="1" applyBorder="1" applyAlignment="1" applyProtection="1">
      <alignment horizontal="right"/>
    </xf>
    <xf numFmtId="0" fontId="147" fillId="0" borderId="160" xfId="0" applyNumberFormat="1" applyFont="1" applyBorder="1" applyAlignment="1" applyProtection="1">
      <alignment horizontal="right"/>
    </xf>
    <xf numFmtId="0" fontId="0" fillId="0" borderId="0" xfId="0" applyAlignment="1">
      <alignment horizontal="right"/>
    </xf>
    <xf numFmtId="0" fontId="0" fillId="0" borderId="88" xfId="0" applyNumberFormat="1" applyFont="1" applyBorder="1" applyAlignment="1" applyProtection="1">
      <alignment wrapText="1"/>
    </xf>
    <xf numFmtId="49" fontId="0" fillId="0" borderId="165" xfId="0" applyNumberFormat="1" applyFont="1" applyBorder="1" applyAlignment="1" applyProtection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g"/><Relationship Id="rId20" Type="http://schemas.openxmlformats.org/officeDocument/2006/relationships/image" Target="../media/image20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1</xdr:col>
      <xdr:colOff>1724025</xdr:colOff>
      <xdr:row>1</xdr:row>
      <xdr:rowOff>1724025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</xdr:row>
      <xdr:rowOff>9525</xdr:rowOff>
    </xdr:from>
    <xdr:to>
      <xdr:col>1</xdr:col>
      <xdr:colOff>1724025</xdr:colOff>
      <xdr:row>2</xdr:row>
      <xdr:rowOff>1724025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9525</xdr:rowOff>
    </xdr:from>
    <xdr:to>
      <xdr:col>1</xdr:col>
      <xdr:colOff>1724025</xdr:colOff>
      <xdr:row>3</xdr:row>
      <xdr:rowOff>1724025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9525</xdr:rowOff>
    </xdr:from>
    <xdr:to>
      <xdr:col>1</xdr:col>
      <xdr:colOff>1724025</xdr:colOff>
      <xdr:row>4</xdr:row>
      <xdr:rowOff>1724025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9525</xdr:rowOff>
    </xdr:from>
    <xdr:to>
      <xdr:col>1</xdr:col>
      <xdr:colOff>1724025</xdr:colOff>
      <xdr:row>5</xdr:row>
      <xdr:rowOff>1724025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9525</xdr:rowOff>
    </xdr:from>
    <xdr:to>
      <xdr:col>1</xdr:col>
      <xdr:colOff>1724025</xdr:colOff>
      <xdr:row>6</xdr:row>
      <xdr:rowOff>1724025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</xdr:row>
      <xdr:rowOff>9525</xdr:rowOff>
    </xdr:from>
    <xdr:to>
      <xdr:col>1</xdr:col>
      <xdr:colOff>1724025</xdr:colOff>
      <xdr:row>7</xdr:row>
      <xdr:rowOff>1724025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</xdr:row>
      <xdr:rowOff>9525</xdr:rowOff>
    </xdr:from>
    <xdr:to>
      <xdr:col>1</xdr:col>
      <xdr:colOff>1724025</xdr:colOff>
      <xdr:row>8</xdr:row>
      <xdr:rowOff>1724025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1</xdr:col>
      <xdr:colOff>1724025</xdr:colOff>
      <xdr:row>9</xdr:row>
      <xdr:rowOff>1724025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</xdr:row>
      <xdr:rowOff>9525</xdr:rowOff>
    </xdr:from>
    <xdr:to>
      <xdr:col>1</xdr:col>
      <xdr:colOff>1724025</xdr:colOff>
      <xdr:row>10</xdr:row>
      <xdr:rowOff>1724025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</xdr:row>
      <xdr:rowOff>9525</xdr:rowOff>
    </xdr:from>
    <xdr:to>
      <xdr:col>1</xdr:col>
      <xdr:colOff>1724025</xdr:colOff>
      <xdr:row>11</xdr:row>
      <xdr:rowOff>1724025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</xdr:row>
      <xdr:rowOff>9525</xdr:rowOff>
    </xdr:from>
    <xdr:to>
      <xdr:col>1</xdr:col>
      <xdr:colOff>1724025</xdr:colOff>
      <xdr:row>12</xdr:row>
      <xdr:rowOff>1724025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</xdr:row>
      <xdr:rowOff>9525</xdr:rowOff>
    </xdr:from>
    <xdr:to>
      <xdr:col>1</xdr:col>
      <xdr:colOff>1724025</xdr:colOff>
      <xdr:row>13</xdr:row>
      <xdr:rowOff>1724025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</xdr:row>
      <xdr:rowOff>9525</xdr:rowOff>
    </xdr:from>
    <xdr:to>
      <xdr:col>1</xdr:col>
      <xdr:colOff>1724025</xdr:colOff>
      <xdr:row>14</xdr:row>
      <xdr:rowOff>1724025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1</xdr:col>
      <xdr:colOff>1724025</xdr:colOff>
      <xdr:row>15</xdr:row>
      <xdr:rowOff>1724025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1</xdr:col>
      <xdr:colOff>1724025</xdr:colOff>
      <xdr:row>16</xdr:row>
      <xdr:rowOff>1724025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1</xdr:col>
      <xdr:colOff>1724025</xdr:colOff>
      <xdr:row>17</xdr:row>
      <xdr:rowOff>1724025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1</xdr:col>
      <xdr:colOff>1724025</xdr:colOff>
      <xdr:row>18</xdr:row>
      <xdr:rowOff>1724025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1</xdr:col>
      <xdr:colOff>1724025</xdr:colOff>
      <xdr:row>19</xdr:row>
      <xdr:rowOff>1724025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1</xdr:col>
      <xdr:colOff>1724025</xdr:colOff>
      <xdr:row>20</xdr:row>
      <xdr:rowOff>1724025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1</xdr:col>
      <xdr:colOff>1724025</xdr:colOff>
      <xdr:row>21</xdr:row>
      <xdr:rowOff>1724025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M24" sqref="M24"/>
    </sheetView>
  </sheetViews>
  <sheetFormatPr baseColWidth="10" defaultColWidth="8.83203125" defaultRowHeight="14" x14ac:dyDescent="0"/>
  <cols>
    <col min="1" max="1" width="4.83203125" bestFit="1" customWidth="1"/>
    <col min="2" max="2" width="13.33203125" hidden="1" customWidth="1"/>
    <col min="3" max="3" width="12.33203125" bestFit="1" customWidth="1"/>
    <col min="4" max="4" width="4.1640625" bestFit="1" customWidth="1"/>
    <col min="5" max="5" width="20.33203125" customWidth="1"/>
    <col min="6" max="6" width="4.33203125" bestFit="1" customWidth="1"/>
    <col min="7" max="7" width="6.6640625" customWidth="1"/>
    <col min="8" max="8" width="6.5" customWidth="1"/>
    <col min="9" max="9" width="5.33203125" bestFit="1" customWidth="1"/>
    <col min="13" max="13" width="14.33203125" bestFit="1" customWidth="1"/>
    <col min="14" max="14" width="11" customWidth="1"/>
  </cols>
  <sheetData>
    <row r="1" spans="1:14" s="210" customFormat="1" ht="28">
      <c r="A1" s="196" t="s">
        <v>0</v>
      </c>
      <c r="B1" s="197" t="s">
        <v>1</v>
      </c>
      <c r="C1" s="198" t="s">
        <v>2</v>
      </c>
      <c r="D1" s="199" t="s">
        <v>3</v>
      </c>
      <c r="E1" s="200" t="s">
        <v>4</v>
      </c>
      <c r="F1" s="201" t="s">
        <v>5</v>
      </c>
      <c r="G1" s="202" t="s">
        <v>77</v>
      </c>
      <c r="H1" s="203" t="s">
        <v>75</v>
      </c>
      <c r="I1" s="204" t="s">
        <v>6</v>
      </c>
      <c r="J1" s="205" t="s">
        <v>76</v>
      </c>
      <c r="K1" s="206" t="s">
        <v>7</v>
      </c>
      <c r="L1" s="207" t="s">
        <v>8</v>
      </c>
      <c r="M1" s="208" t="s">
        <v>70</v>
      </c>
      <c r="N1" s="209" t="s">
        <v>9</v>
      </c>
    </row>
    <row r="2" spans="1:14">
      <c r="A2" s="1">
        <v>1</v>
      </c>
      <c r="C2" s="22" t="s">
        <v>10</v>
      </c>
      <c r="D2" s="43">
        <v>2</v>
      </c>
      <c r="E2" s="64" t="s">
        <v>31</v>
      </c>
      <c r="F2" s="84">
        <v>1</v>
      </c>
      <c r="G2" s="211">
        <v>440</v>
      </c>
      <c r="H2" s="233">
        <v>33.700000000000003</v>
      </c>
      <c r="I2" s="171">
        <v>6</v>
      </c>
      <c r="J2" s="173">
        <v>0.36399999999999999</v>
      </c>
      <c r="K2" s="150">
        <v>2.41</v>
      </c>
      <c r="L2" s="108" t="s">
        <v>53</v>
      </c>
      <c r="M2" s="195" t="s">
        <v>71</v>
      </c>
      <c r="N2" s="129" t="s">
        <v>57</v>
      </c>
    </row>
    <row r="3" spans="1:14">
      <c r="A3" s="2">
        <v>2</v>
      </c>
      <c r="C3" s="23" t="s">
        <v>11</v>
      </c>
      <c r="D3" s="44">
        <v>2</v>
      </c>
      <c r="E3" s="65" t="s">
        <v>32</v>
      </c>
      <c r="F3" s="85">
        <v>1</v>
      </c>
      <c r="G3" s="212">
        <v>516</v>
      </c>
      <c r="H3" s="234">
        <v>33.700000000000003</v>
      </c>
      <c r="I3" s="171">
        <v>6</v>
      </c>
      <c r="J3" s="174">
        <v>0.42699999999999999</v>
      </c>
      <c r="K3" s="151">
        <v>2.83</v>
      </c>
      <c r="L3" s="109" t="s">
        <v>53</v>
      </c>
      <c r="M3" s="195" t="s">
        <v>71</v>
      </c>
      <c r="N3" s="130" t="s">
        <v>57</v>
      </c>
    </row>
    <row r="4" spans="1:14">
      <c r="A4" s="3">
        <v>3</v>
      </c>
      <c r="C4" s="24" t="s">
        <v>12</v>
      </c>
      <c r="D4" s="45">
        <v>1</v>
      </c>
      <c r="E4" s="66" t="s">
        <v>33</v>
      </c>
      <c r="F4" s="86">
        <v>1</v>
      </c>
      <c r="G4" s="213">
        <v>280</v>
      </c>
      <c r="H4" s="235">
        <v>33.700000000000003</v>
      </c>
      <c r="I4" s="171">
        <v>6</v>
      </c>
      <c r="J4" s="175">
        <v>0.23200000000000001</v>
      </c>
      <c r="K4" s="152">
        <v>1.53</v>
      </c>
      <c r="L4" s="110" t="s">
        <v>53</v>
      </c>
      <c r="M4" s="195" t="s">
        <v>71</v>
      </c>
      <c r="N4" s="131" t="s">
        <v>57</v>
      </c>
    </row>
    <row r="5" spans="1:14">
      <c r="A5" s="4">
        <v>4</v>
      </c>
      <c r="C5" s="25" t="s">
        <v>13</v>
      </c>
      <c r="D5" s="46">
        <v>1</v>
      </c>
      <c r="E5" s="67" t="s">
        <v>34</v>
      </c>
      <c r="F5" s="87">
        <v>1</v>
      </c>
      <c r="G5" s="214">
        <v>250</v>
      </c>
      <c r="H5" s="236">
        <v>33.700000000000003</v>
      </c>
      <c r="I5" s="171">
        <v>6</v>
      </c>
      <c r="J5" s="176">
        <v>0.20699999999999999</v>
      </c>
      <c r="K5" s="153">
        <v>1.37</v>
      </c>
      <c r="L5" s="111" t="s">
        <v>53</v>
      </c>
      <c r="M5" s="195" t="s">
        <v>71</v>
      </c>
      <c r="N5" s="132" t="s">
        <v>57</v>
      </c>
    </row>
    <row r="6" spans="1:14">
      <c r="A6" s="5">
        <v>5</v>
      </c>
      <c r="C6" s="26" t="s">
        <v>14</v>
      </c>
      <c r="D6" s="47">
        <v>1</v>
      </c>
      <c r="E6" s="68" t="s">
        <v>35</v>
      </c>
      <c r="F6" s="88">
        <v>2</v>
      </c>
      <c r="G6" s="215">
        <v>230</v>
      </c>
      <c r="H6" s="237">
        <v>33.700000000000003</v>
      </c>
      <c r="I6" s="171">
        <v>6</v>
      </c>
      <c r="J6" s="177">
        <v>0.19</v>
      </c>
      <c r="K6" s="154">
        <v>1.26</v>
      </c>
      <c r="L6" s="112" t="s">
        <v>53</v>
      </c>
      <c r="M6" s="195" t="s">
        <v>71</v>
      </c>
      <c r="N6" s="133" t="s">
        <v>57</v>
      </c>
    </row>
    <row r="7" spans="1:14">
      <c r="A7" s="6">
        <v>6</v>
      </c>
      <c r="C7" s="27" t="s">
        <v>15</v>
      </c>
      <c r="D7" s="48">
        <v>1</v>
      </c>
      <c r="E7" s="69" t="s">
        <v>36</v>
      </c>
      <c r="F7" s="89">
        <v>1</v>
      </c>
      <c r="G7" s="216">
        <v>240</v>
      </c>
      <c r="H7" s="238">
        <v>33.700000000000003</v>
      </c>
      <c r="I7" s="171">
        <v>6</v>
      </c>
      <c r="J7" s="178">
        <v>0.19900000000000001</v>
      </c>
      <c r="K7" s="155">
        <v>1.32</v>
      </c>
      <c r="L7" s="113" t="s">
        <v>53</v>
      </c>
      <c r="M7" s="195" t="s">
        <v>71</v>
      </c>
      <c r="N7" s="134" t="s">
        <v>57</v>
      </c>
    </row>
    <row r="8" spans="1:14">
      <c r="A8" s="7">
        <v>7</v>
      </c>
      <c r="C8" s="28" t="s">
        <v>16</v>
      </c>
      <c r="D8" s="49">
        <v>2</v>
      </c>
      <c r="E8" s="70" t="s">
        <v>37</v>
      </c>
      <c r="F8" s="90">
        <v>2</v>
      </c>
      <c r="G8" s="217">
        <v>230</v>
      </c>
      <c r="H8" s="239">
        <v>33.700000000000003</v>
      </c>
      <c r="I8" s="171">
        <v>6</v>
      </c>
      <c r="J8" s="179">
        <v>0.19</v>
      </c>
      <c r="K8" s="156">
        <v>1.26</v>
      </c>
      <c r="L8" s="114" t="s">
        <v>53</v>
      </c>
      <c r="M8" s="195" t="s">
        <v>71</v>
      </c>
      <c r="N8" s="135" t="s">
        <v>57</v>
      </c>
    </row>
    <row r="9" spans="1:14">
      <c r="A9" s="8">
        <v>8</v>
      </c>
      <c r="C9" s="29" t="s">
        <v>17</v>
      </c>
      <c r="D9" s="50">
        <v>2</v>
      </c>
      <c r="E9" s="71" t="s">
        <v>38</v>
      </c>
      <c r="F9" s="91">
        <v>2</v>
      </c>
      <c r="G9" s="218">
        <v>90</v>
      </c>
      <c r="H9" s="240">
        <v>33.700000000000003</v>
      </c>
      <c r="I9" s="171">
        <v>6</v>
      </c>
      <c r="J9" s="180">
        <v>7.4999999999999997E-2</v>
      </c>
      <c r="K9" s="157">
        <v>0.49</v>
      </c>
      <c r="L9" s="115" t="s">
        <v>53</v>
      </c>
      <c r="M9" s="195" t="s">
        <v>71</v>
      </c>
      <c r="N9" s="136" t="s">
        <v>57</v>
      </c>
    </row>
    <row r="10" spans="1:14">
      <c r="A10" s="9">
        <v>9</v>
      </c>
      <c r="C10" s="30" t="s">
        <v>18</v>
      </c>
      <c r="D10" s="51">
        <v>1</v>
      </c>
      <c r="E10" s="72" t="s">
        <v>39</v>
      </c>
      <c r="F10" s="92">
        <v>1</v>
      </c>
      <c r="G10" s="219">
        <v>150</v>
      </c>
      <c r="H10" s="241">
        <v>32.4</v>
      </c>
      <c r="I10" s="105" t="s">
        <v>51</v>
      </c>
      <c r="J10" s="181">
        <v>8.5000000000000006E-2</v>
      </c>
      <c r="K10" s="158">
        <v>10</v>
      </c>
      <c r="L10" s="116" t="s">
        <v>53</v>
      </c>
      <c r="M10" s="195" t="s">
        <v>72</v>
      </c>
      <c r="N10" s="137" t="s">
        <v>58</v>
      </c>
    </row>
    <row r="11" spans="1:14">
      <c r="A11" s="10">
        <v>10</v>
      </c>
      <c r="C11" s="31" t="s">
        <v>19</v>
      </c>
      <c r="D11" s="52">
        <v>1</v>
      </c>
      <c r="E11" s="73" t="s">
        <v>40</v>
      </c>
      <c r="F11" s="93">
        <v>1</v>
      </c>
      <c r="G11" s="220">
        <v>73</v>
      </c>
      <c r="H11" s="242">
        <v>42</v>
      </c>
      <c r="I11" s="106" t="s">
        <v>52</v>
      </c>
      <c r="J11" s="182">
        <v>0.24299999999999999</v>
      </c>
      <c r="K11" s="159">
        <v>7</v>
      </c>
      <c r="L11" s="117" t="s">
        <v>54</v>
      </c>
      <c r="M11" s="195" t="s">
        <v>72</v>
      </c>
      <c r="N11" s="138" t="s">
        <v>59</v>
      </c>
    </row>
    <row r="12" spans="1:14">
      <c r="A12" s="11">
        <v>11</v>
      </c>
      <c r="C12" s="32" t="s">
        <v>20</v>
      </c>
      <c r="D12" s="53">
        <v>1</v>
      </c>
      <c r="E12" s="74" t="s">
        <v>41</v>
      </c>
      <c r="F12" s="94">
        <v>5</v>
      </c>
      <c r="G12" s="221" t="s">
        <v>50</v>
      </c>
      <c r="H12" s="243" t="s">
        <v>50</v>
      </c>
      <c r="I12" s="172">
        <v>6</v>
      </c>
      <c r="J12" s="183">
        <v>0.13</v>
      </c>
      <c r="K12" s="160">
        <v>9.56</v>
      </c>
      <c r="L12" s="118" t="s">
        <v>55</v>
      </c>
      <c r="M12" s="195" t="s">
        <v>73</v>
      </c>
      <c r="N12" s="139" t="s">
        <v>60</v>
      </c>
    </row>
    <row r="13" spans="1:14">
      <c r="A13" s="12">
        <v>12</v>
      </c>
      <c r="C13" s="33" t="s">
        <v>21</v>
      </c>
      <c r="D13" s="54">
        <v>1</v>
      </c>
      <c r="E13" s="255" t="s">
        <v>78</v>
      </c>
      <c r="F13" s="95">
        <v>1</v>
      </c>
      <c r="G13" s="222" t="s">
        <v>50</v>
      </c>
      <c r="H13" s="244" t="s">
        <v>50</v>
      </c>
      <c r="I13" s="256" t="s">
        <v>79</v>
      </c>
      <c r="J13" s="184">
        <v>0.43</v>
      </c>
      <c r="K13" s="161">
        <v>12.53</v>
      </c>
      <c r="L13" s="119" t="s">
        <v>56</v>
      </c>
      <c r="M13" s="195" t="s">
        <v>73</v>
      </c>
      <c r="N13" s="140" t="s">
        <v>61</v>
      </c>
    </row>
    <row r="14" spans="1:14">
      <c r="A14" s="13">
        <v>13</v>
      </c>
      <c r="C14" s="34" t="s">
        <v>22</v>
      </c>
      <c r="D14" s="55">
        <v>1</v>
      </c>
      <c r="E14" s="75" t="s">
        <v>42</v>
      </c>
      <c r="F14" s="96">
        <v>1</v>
      </c>
      <c r="G14" s="223" t="s">
        <v>50</v>
      </c>
      <c r="H14" s="245" t="s">
        <v>50</v>
      </c>
      <c r="I14" s="171">
        <v>6</v>
      </c>
      <c r="J14" s="185">
        <v>0.16</v>
      </c>
      <c r="K14" s="162">
        <v>12.18</v>
      </c>
      <c r="L14" s="120" t="s">
        <v>55</v>
      </c>
      <c r="M14" s="195" t="s">
        <v>73</v>
      </c>
      <c r="N14" s="141" t="s">
        <v>62</v>
      </c>
    </row>
    <row r="15" spans="1:14">
      <c r="A15" s="14">
        <v>14</v>
      </c>
      <c r="C15" s="35" t="s">
        <v>23</v>
      </c>
      <c r="D15" s="56">
        <v>1</v>
      </c>
      <c r="E15" s="76" t="s">
        <v>43</v>
      </c>
      <c r="F15" s="97">
        <v>1</v>
      </c>
      <c r="G15" s="224" t="s">
        <v>50</v>
      </c>
      <c r="H15" s="246" t="s">
        <v>50</v>
      </c>
      <c r="I15" s="171">
        <v>6</v>
      </c>
      <c r="J15" s="186">
        <v>0.44</v>
      </c>
      <c r="K15" s="163">
        <v>9.59</v>
      </c>
      <c r="L15" s="121" t="s">
        <v>56</v>
      </c>
      <c r="M15" s="195" t="s">
        <v>73</v>
      </c>
      <c r="N15" s="142" t="s">
        <v>63</v>
      </c>
    </row>
    <row r="16" spans="1:14">
      <c r="A16" s="15">
        <v>15</v>
      </c>
      <c r="C16" s="36" t="s">
        <v>24</v>
      </c>
      <c r="D16" s="57">
        <v>1</v>
      </c>
      <c r="E16" s="77" t="s">
        <v>44</v>
      </c>
      <c r="F16" s="98">
        <v>5</v>
      </c>
      <c r="G16" s="225" t="s">
        <v>50</v>
      </c>
      <c r="H16" s="247" t="s">
        <v>50</v>
      </c>
      <c r="I16" s="171">
        <v>6</v>
      </c>
      <c r="J16" s="187">
        <v>0.17</v>
      </c>
      <c r="K16" s="164">
        <v>8.64</v>
      </c>
      <c r="L16" s="122" t="s">
        <v>55</v>
      </c>
      <c r="M16" s="195" t="s">
        <v>73</v>
      </c>
      <c r="N16" s="143" t="s">
        <v>64</v>
      </c>
    </row>
    <row r="17" spans="1:14">
      <c r="A17" s="16">
        <v>16</v>
      </c>
      <c r="C17" s="37" t="s">
        <v>25</v>
      </c>
      <c r="D17" s="58">
        <v>1</v>
      </c>
      <c r="E17" s="78" t="s">
        <v>45</v>
      </c>
      <c r="F17" s="99">
        <v>2</v>
      </c>
      <c r="G17" s="226" t="s">
        <v>50</v>
      </c>
      <c r="H17" s="248" t="s">
        <v>50</v>
      </c>
      <c r="I17" s="171">
        <v>6</v>
      </c>
      <c r="J17" s="188">
        <v>0.12</v>
      </c>
      <c r="K17" s="165">
        <v>10.97</v>
      </c>
      <c r="L17" s="123" t="s">
        <v>55</v>
      </c>
      <c r="M17" s="195" t="s">
        <v>73</v>
      </c>
      <c r="N17" s="144" t="s">
        <v>65</v>
      </c>
    </row>
    <row r="18" spans="1:14">
      <c r="A18" s="17">
        <v>17</v>
      </c>
      <c r="C18" s="38" t="s">
        <v>26</v>
      </c>
      <c r="D18" s="59">
        <v>1</v>
      </c>
      <c r="E18" s="79" t="s">
        <v>46</v>
      </c>
      <c r="F18" s="100">
        <v>1</v>
      </c>
      <c r="G18" s="227" t="s">
        <v>50</v>
      </c>
      <c r="H18" s="249" t="s">
        <v>50</v>
      </c>
      <c r="I18" s="171">
        <v>6</v>
      </c>
      <c r="J18" s="189">
        <v>0.33</v>
      </c>
      <c r="K18" s="166">
        <v>10.3</v>
      </c>
      <c r="L18" s="124" t="s">
        <v>56</v>
      </c>
      <c r="M18" s="195" t="s">
        <v>73</v>
      </c>
      <c r="N18" s="145" t="s">
        <v>66</v>
      </c>
    </row>
    <row r="19" spans="1:14">
      <c r="A19" s="18">
        <v>18</v>
      </c>
      <c r="C19" s="39" t="s">
        <v>27</v>
      </c>
      <c r="D19" s="60">
        <v>1</v>
      </c>
      <c r="E19" s="80" t="s">
        <v>46</v>
      </c>
      <c r="F19" s="101">
        <v>1</v>
      </c>
      <c r="G19" s="228" t="s">
        <v>50</v>
      </c>
      <c r="H19" s="250" t="s">
        <v>50</v>
      </c>
      <c r="I19" s="171">
        <v>6</v>
      </c>
      <c r="J19" s="190">
        <v>0.16</v>
      </c>
      <c r="K19" s="167">
        <v>15.59</v>
      </c>
      <c r="L19" s="125" t="s">
        <v>55</v>
      </c>
      <c r="M19" s="195" t="s">
        <v>73</v>
      </c>
      <c r="N19" s="146" t="s">
        <v>67</v>
      </c>
    </row>
    <row r="20" spans="1:14">
      <c r="A20" s="19">
        <v>19</v>
      </c>
      <c r="C20" s="40" t="s">
        <v>28</v>
      </c>
      <c r="D20" s="61">
        <v>1</v>
      </c>
      <c r="E20" s="81" t="s">
        <v>47</v>
      </c>
      <c r="F20" s="102">
        <v>3</v>
      </c>
      <c r="G20" s="229" t="s">
        <v>50</v>
      </c>
      <c r="H20" s="251" t="s">
        <v>50</v>
      </c>
      <c r="I20" s="171">
        <v>6</v>
      </c>
      <c r="J20" s="191">
        <v>0.51</v>
      </c>
      <c r="K20" s="168">
        <v>9.01</v>
      </c>
      <c r="L20" s="126" t="s">
        <v>56</v>
      </c>
      <c r="M20" s="195" t="s">
        <v>73</v>
      </c>
      <c r="N20" s="147" t="s">
        <v>68</v>
      </c>
    </row>
    <row r="21" spans="1:14">
      <c r="A21" s="20">
        <v>20</v>
      </c>
      <c r="C21" s="41" t="s">
        <v>29</v>
      </c>
      <c r="D21" s="62">
        <v>1</v>
      </c>
      <c r="E21" s="82" t="s">
        <v>48</v>
      </c>
      <c r="F21" s="103">
        <v>1</v>
      </c>
      <c r="G21" s="230" t="s">
        <v>50</v>
      </c>
      <c r="H21" s="252" t="s">
        <v>50</v>
      </c>
      <c r="I21" s="171">
        <v>6</v>
      </c>
      <c r="J21" s="192">
        <v>0.18</v>
      </c>
      <c r="K21" s="169">
        <v>18.5</v>
      </c>
      <c r="L21" s="127" t="s">
        <v>55</v>
      </c>
      <c r="M21" s="195" t="s">
        <v>73</v>
      </c>
      <c r="N21" s="148" t="s">
        <v>69</v>
      </c>
    </row>
    <row r="22" spans="1:14">
      <c r="A22" s="21">
        <v>21</v>
      </c>
      <c r="C22" s="42" t="s">
        <v>30</v>
      </c>
      <c r="D22" s="63">
        <v>1</v>
      </c>
      <c r="E22" s="83" t="s">
        <v>49</v>
      </c>
      <c r="F22" s="104">
        <v>4</v>
      </c>
      <c r="G22" s="231" t="s">
        <v>50</v>
      </c>
      <c r="H22" s="253" t="s">
        <v>50</v>
      </c>
      <c r="I22" s="107" t="s">
        <v>50</v>
      </c>
      <c r="J22" s="193">
        <v>1.6E-2</v>
      </c>
      <c r="K22" s="170">
        <v>3</v>
      </c>
      <c r="L22" s="128" t="s">
        <v>53</v>
      </c>
      <c r="M22" s="195" t="s">
        <v>74</v>
      </c>
      <c r="N22" s="149" t="s">
        <v>50</v>
      </c>
    </row>
    <row r="23" spans="1:14">
      <c r="G23" s="232">
        <f>SUMPRODUCT(G2:G11,F2:F11)</f>
        <v>3049</v>
      </c>
      <c r="H23" s="254"/>
      <c r="J23" s="194">
        <f>SUMPRODUCT(J2:J22,$F2:$F22)</f>
        <v>7.7010000000000014</v>
      </c>
      <c r="K23" s="194">
        <f>SUMPRODUCT(K2:K22,$F2:$F22)</f>
        <v>263.14000000000004</v>
      </c>
    </row>
  </sheetData>
  <pageMargins left="0.75" right="0.75" top="1" bottom="1" header="0.5" footer="0.5"/>
  <pageSetup paperSize="9" orientation="portrait" horizontalDpi="4294967292" verticalDpi="4294967292"/>
  <ignoredErrors>
    <ignoredError sqref="G23" formulaRange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Hannah Hinds</cp:lastModifiedBy>
  <dcterms:modified xsi:type="dcterms:W3CDTF">2020-05-09T18:37:01Z</dcterms:modified>
</cp:coreProperties>
</file>