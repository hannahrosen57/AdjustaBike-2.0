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705"/>
  <workbookPr showInkAnnotation="0" autoCompressPictures="0"/>
  <bookViews>
    <workbookView xWindow="240" yWindow="200" windowWidth="25360" windowHeight="15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7" i="1" l="1"/>
  <c r="H8" i="1"/>
  <c r="H9" i="1"/>
  <c r="H10" i="1"/>
  <c r="H6" i="1"/>
  <c r="A6" i="1"/>
  <c r="A7" i="1"/>
  <c r="A8" i="1"/>
  <c r="A9" i="1"/>
  <c r="A10" i="1"/>
  <c r="A5" i="1"/>
</calcChain>
</file>

<file path=xl/sharedStrings.xml><?xml version="1.0" encoding="utf-8"?>
<sst xmlns="http://schemas.openxmlformats.org/spreadsheetml/2006/main" count="8" uniqueCount="8">
  <si>
    <t>mesh size (mm)</t>
  </si>
  <si>
    <t>von Mises Stress (Mpa)</t>
  </si>
  <si>
    <t>max</t>
  </si>
  <si>
    <t>*</t>
  </si>
  <si>
    <t>mid DT</t>
  </si>
  <si>
    <t>DT/ST</t>
  </si>
  <si>
    <t>top HT</t>
  </si>
  <si>
    <t>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</si>
</sst>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 applyAlignment="1">
      <alignment wrapText="1"/>
    </xf>
    <xf numFmtId="10" fontId="0" fillId="0" borderId="0" xfId="1" applyNumberFormat="1" applyFont="1"/>
  </cellXfs>
  <cellStyles count="4">
    <cellStyle name="Followed Hyperlink" xfId="3" builtinId="9" hidden="1"/>
    <cellStyle name="Hyperlink" xfId="2" builtinId="8" hidden="1"/>
    <cellStyle name="Normal" xfId="0" builtinId="0"/>
    <cellStyle name="Percent" xfId="1" builtinId="5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Mesh Convergence</a:t>
            </a:r>
            <a:r>
              <a:rPr lang="en-US" baseline="0"/>
              <a:t> Study</a:t>
            </a:r>
            <a:endParaRPr lang="en-US"/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5400"/>
            <a:effectLst/>
          </c:spPr>
          <c:marker>
            <c:symbol val="x"/>
            <c:size val="9"/>
            <c:spPr>
              <a:ln w="28575"/>
              <a:effectLst/>
            </c:spPr>
          </c:marker>
          <c:xVal>
            <c:numRef>
              <c:f>Sheet1!$A$6:$A$10</c:f>
              <c:numCache>
                <c:formatCode>General</c:formatCode>
                <c:ptCount val="5"/>
                <c:pt idx="0">
                  <c:v>0.02</c:v>
                </c:pt>
                <c:pt idx="1">
                  <c:v>0.0333333333333333</c:v>
                </c:pt>
                <c:pt idx="2">
                  <c:v>0.1</c:v>
                </c:pt>
                <c:pt idx="3">
                  <c:v>0.2</c:v>
                </c:pt>
                <c:pt idx="4">
                  <c:v>0.4</c:v>
                </c:pt>
              </c:numCache>
            </c:numRef>
          </c:xVal>
          <c:yVal>
            <c:numRef>
              <c:f>Sheet1!$D$6:$D$10</c:f>
              <c:numCache>
                <c:formatCode>0.00</c:formatCode>
                <c:ptCount val="5"/>
                <c:pt idx="0">
                  <c:v>28.17</c:v>
                </c:pt>
                <c:pt idx="1">
                  <c:v>27.43</c:v>
                </c:pt>
                <c:pt idx="2">
                  <c:v>26.84</c:v>
                </c:pt>
                <c:pt idx="3">
                  <c:v>26.72</c:v>
                </c:pt>
                <c:pt idx="4">
                  <c:v>26.68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211400"/>
        <c:axId val="2140316600"/>
      </c:scatterChart>
      <c:valAx>
        <c:axId val="21432114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Mesh Resolution (elements per mm</a:t>
                </a:r>
                <a:r>
                  <a:rPr lang="en-US" baseline="0"/>
                  <a:t>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40316600"/>
        <c:crosses val="autoZero"/>
        <c:crossBetween val="midCat"/>
      </c:valAx>
      <c:valAx>
        <c:axId val="2140316600"/>
        <c:scaling>
          <c:orientation val="minMax"/>
        </c:scaling>
        <c:delete val="0"/>
        <c:axPos val="l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von Mises Stress</a:t>
                </a:r>
                <a:r>
                  <a:rPr lang="en-US" baseline="0"/>
                  <a:t> at Point (MPa)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2143211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11</xdr:row>
      <xdr:rowOff>177800</xdr:rowOff>
    </xdr:from>
    <xdr:to>
      <xdr:col>13</xdr:col>
      <xdr:colOff>205154</xdr:colOff>
      <xdr:row>33</xdr:row>
      <xdr:rowOff>127000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0"/>
  <sheetViews>
    <sheetView tabSelected="1" topLeftCell="D9" zoomScale="130" zoomScaleNormal="130" zoomScalePageLayoutView="130" workbookViewId="0">
      <selection activeCell="E25" sqref="E25"/>
    </sheetView>
  </sheetViews>
  <sheetFormatPr baseColWidth="10" defaultRowHeight="15" x14ac:dyDescent="0"/>
  <sheetData>
    <row r="3" spans="1:8" ht="15" customHeight="1">
      <c r="C3" s="1" t="s">
        <v>1</v>
      </c>
      <c r="D3" s="1"/>
      <c r="E3" s="1"/>
      <c r="F3" s="1"/>
      <c r="G3" s="1"/>
    </row>
    <row r="4" spans="1:8" ht="30">
      <c r="B4" s="3" t="s">
        <v>0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>
      <c r="A5">
        <f>1/B5</f>
        <v>0.01</v>
      </c>
      <c r="B5">
        <v>100</v>
      </c>
      <c r="C5" s="2">
        <v>53.33</v>
      </c>
      <c r="D5" s="2">
        <v>25.04</v>
      </c>
      <c r="E5" s="2">
        <v>35.25</v>
      </c>
      <c r="F5" s="2">
        <v>52.33</v>
      </c>
      <c r="G5" s="2">
        <v>37.93</v>
      </c>
    </row>
    <row r="6" spans="1:8">
      <c r="A6">
        <f t="shared" ref="A6:A10" si="0">1/B6</f>
        <v>0.02</v>
      </c>
      <c r="B6">
        <v>50</v>
      </c>
      <c r="C6" s="2">
        <v>78.319999999999993</v>
      </c>
      <c r="D6" s="2">
        <v>28.17</v>
      </c>
      <c r="E6" s="2">
        <v>35</v>
      </c>
      <c r="F6" s="2">
        <v>52.39</v>
      </c>
      <c r="G6" s="2">
        <v>37.89</v>
      </c>
      <c r="H6" s="4">
        <f>(D5-D6)/D6</f>
        <v>-0.1111111111111112</v>
      </c>
    </row>
    <row r="7" spans="1:8">
      <c r="A7">
        <f t="shared" si="0"/>
        <v>3.3333333333333333E-2</v>
      </c>
      <c r="B7">
        <v>30</v>
      </c>
      <c r="C7" s="2">
        <v>78.319999999999993</v>
      </c>
      <c r="D7" s="2">
        <v>27.43</v>
      </c>
      <c r="E7" s="2">
        <v>34.5</v>
      </c>
      <c r="F7" s="2">
        <v>52.39</v>
      </c>
      <c r="G7" s="2">
        <v>20.81</v>
      </c>
      <c r="H7" s="4">
        <f t="shared" ref="H7:H10" si="1">(D6-D7)/D7</f>
        <v>2.6977761574918047E-2</v>
      </c>
    </row>
    <row r="8" spans="1:8">
      <c r="A8">
        <f t="shared" si="0"/>
        <v>0.1</v>
      </c>
      <c r="B8">
        <v>10</v>
      </c>
      <c r="C8" s="2">
        <v>78.319999999999993</v>
      </c>
      <c r="D8" s="2">
        <v>26.84</v>
      </c>
      <c r="E8" s="2">
        <v>34.58</v>
      </c>
      <c r="F8" s="2">
        <v>52.09</v>
      </c>
      <c r="G8" s="2">
        <v>20.78</v>
      </c>
      <c r="H8" s="4">
        <f t="shared" si="1"/>
        <v>2.1982116244411321E-2</v>
      </c>
    </row>
    <row r="9" spans="1:8">
      <c r="A9">
        <f t="shared" si="0"/>
        <v>0.2</v>
      </c>
      <c r="B9">
        <v>5</v>
      </c>
      <c r="C9" s="2">
        <v>78.319999999999993</v>
      </c>
      <c r="D9" s="2">
        <v>26.72</v>
      </c>
      <c r="E9" s="2">
        <v>34.4</v>
      </c>
      <c r="F9" s="2">
        <v>52.13</v>
      </c>
      <c r="G9" s="2">
        <v>20.71</v>
      </c>
      <c r="H9" s="4">
        <f t="shared" si="1"/>
        <v>4.4910179640718934E-3</v>
      </c>
    </row>
    <row r="10" spans="1:8">
      <c r="A10">
        <f t="shared" si="0"/>
        <v>0.4</v>
      </c>
      <c r="B10">
        <v>2.5</v>
      </c>
      <c r="C10" s="2">
        <v>78.319999999999993</v>
      </c>
      <c r="D10" s="2">
        <v>26.68</v>
      </c>
      <c r="E10" s="2">
        <v>34.43</v>
      </c>
      <c r="F10" s="2">
        <v>52.73</v>
      </c>
      <c r="G10" s="2">
        <v>20.81</v>
      </c>
      <c r="H10" s="4">
        <f t="shared" si="1"/>
        <v>1.4992503748125618E-3</v>
      </c>
    </row>
  </sheetData>
  <mergeCells count="1">
    <mergeCell ref="C3:G3"/>
  </mergeCells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King's School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Hinds</dc:creator>
  <cp:lastModifiedBy>Hannah Hinds</cp:lastModifiedBy>
  <dcterms:created xsi:type="dcterms:W3CDTF">2020-05-06T00:57:58Z</dcterms:created>
  <dcterms:modified xsi:type="dcterms:W3CDTF">2020-05-06T16:14:34Z</dcterms:modified>
</cp:coreProperties>
</file>